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96f26de69e47b7" /></Relationships>
</file>

<file path=xl/workbook.xml><?xml version="1.0" encoding="utf-8"?>
<x:workbook xmlns:x="http://schemas.openxmlformats.org/spreadsheetml/2006/main">
  <x:sheets>
    <x:sheet xmlns:r="http://schemas.openxmlformats.org/officeDocument/2006/relationships" name="Read Me" sheetId="1" r:id="R68d43e416ee44319"/>
    <x:sheet xmlns:r="http://schemas.openxmlformats.org/officeDocument/2006/relationships" name="Attributes" sheetId="2" r:id="Rcb60a8da6a7845d7"/>
    <x:sheet xmlns:r="http://schemas.openxmlformats.org/officeDocument/2006/relationships" name="Rule Matrix" sheetId="3" r:id="R31996edffa194d97"/>
    <x:sheet xmlns:r="http://schemas.openxmlformats.org/officeDocument/2006/relationships" name="Sources" sheetId="4" r:id="R4e51db1e65e74b61"/>
    <x:sheet xmlns:r="http://schemas.openxmlformats.org/officeDocument/2006/relationships" name="Costs" sheetId="5" r:id="R2f88f81abd174f7e"/>
    <x:sheet xmlns:r="http://schemas.openxmlformats.org/officeDocument/2006/relationships" name="Gaps" sheetId="6" r:id="Rb9f3656b3d204700"/>
    <x:sheet xmlns:r="http://schemas.openxmlformats.org/officeDocument/2006/relationships" name="MVP Subset" sheetId="7" r:id="R6cdb974f6b78423c"/>
    <x:sheet xmlns:r="http://schemas.openxmlformats.org/officeDocument/2006/relationships" name="Summary" sheetId="8" r:id="R9c52853481b94e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9">
    <x:font>
      <x:sz val="11"/>
      <x:name val="Carlito"/>
    </x:font>
    <x:font>
      <x:b/>
      <x:sz val="15"/>
      <x:color rgb="FF17324D"/>
      <x:name val="Arial"/>
    </x:font>
    <x:font>
      <x:i/>
      <x:sz val="10"/>
      <x:color rgb="FF5F6B76"/>
      <x:name val="Arial"/>
    </x:font>
    <x:font>
      <x:b/>
      <x:sz val="10"/>
      <x:color rgb="FF17324D"/>
      <x:name val="Arial"/>
    </x:font>
    <x:font>
      <x:sz val="10"/>
      <x:color rgb="FF1F2933"/>
      <x:name val="Arial"/>
    </x:font>
    <x:font>
      <x:b/>
      <x:sz val="10"/>
      <x:color rgb="FFFFFFFF"/>
      <x:name val="Arial"/>
    </x:font>
    <x:font>
      <x:sz val="9"/>
      <x:color rgb="FF1F2933"/>
      <x:name val="Arial"/>
    </x:font>
    <x:font>
      <x:b/>
      <x:sz val="11"/>
      <x:color rgb="FF17324D"/>
      <x:name val="Arial"/>
    </x:font>
    <x:font>
      <x:b/>
      <x:sz val="10"/>
      <x:color rgb="FF7A4B00"/>
      <x:name val="Arial"/>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4D6"/>
      </x:patternFill>
    </x:fill>
  </x:fills>
  <x:borders count="5">
    <x:border/>
    <x:border>
      <x:bottom style="thin">
        <x:color rgb="FF2F6B9A"/>
      </x:bottom>
    </x:border>
    <x:border>
      <x:bottom style="thin">
        <x:color rgb="FFD9E1E8"/>
      </x:bottom>
    </x:border>
    <x:border>
      <x:top style="thin">
        <x:color rgb="FFD9E1E8"/>
      </x:top>
      <x:bottom style="thin">
        <x:color rgb="FFD9E1E8"/>
      </x:bottom>
    </x:border>
    <x:border>
      <x:top style="thin">
        <x:color rgb="FFD9E1E8"/>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200" fontId="6" fillId="0" borderId="2" xfId="0" applyNumberFormat="1" applyFont="1" applyFill="1" applyBorder="1" applyAlignment="1">
      <x:alignment vertical="top" wrapText="1"/>
    </x:xf>
    <x:xf numFmtId="200" fontId="6" fillId="0" borderId="3" xfId="0" applyNumberFormat="1" applyFont="1" applyFill="1" applyBorder="1" applyAlignment="1">
      <x:alignment vertical="top" wrapText="1"/>
    </x:xf>
    <x:xf numFmtId="200" fontId="6" fillId="0" borderId="4" xfId="0" applyNumberFormat="1" applyFont="1" applyFill="1" applyBorder="1" applyAlignment="1">
      <x:alignment vertical="top" wrapText="1"/>
    </x:xf>
    <x:xf numFmtId="200" fontId="6" fillId="0" borderId="2" xfId="0" applyNumberFormat="1" applyFont="1" applyFill="1" applyBorder="1" applyAlignment="1">
      <x:alignment horizontal="right" vertical="top" wrapText="1"/>
    </x:xf>
    <x:xf numFmtId="200" fontId="6" fillId="0" borderId="3" xfId="0" applyNumberFormat="1" applyFont="1" applyFill="1" applyBorder="1" applyAlignment="1">
      <x:alignment horizontal="right" vertical="top" wrapText="1"/>
    </x:xf>
    <x:xf numFmtId="200" fontId="6" fillId="0" borderId="4" xfId="0" applyNumberFormat="1" applyFont="1" applyFill="1" applyBorder="1" applyAlignment="1">
      <x:alignment horizontal="right" vertical="top" wrapText="1"/>
    </x:xf>
    <x:xf numFmtId="0" fontId="0" fillId="3" borderId="0" xfId="0" applyNumberFormat="1" applyFont="1" applyFill="1" applyBorder="1"/>
    <x:xf numFmtId="0" fontId="3" fillId="3" borderId="0" xfId="0" applyNumberFormat="1" applyFont="1" applyFill="1" applyBorder="1"/>
    <x:xf numFmtId="0" fontId="7" fillId="0" borderId="0" xfId="0" applyNumberFormat="1" applyFont="1" applyFill="1" applyBorder="1"/>
    <x:xf numFmtId="0" fontId="5" fillId="2" borderId="2" xfId="0" applyNumberFormat="1" applyFont="1" applyFill="1" applyBorder="1"/>
    <x:xf numFmtId="0" fontId="3" fillId="3" borderId="3" xfId="0" applyNumberFormat="1" applyFont="1" applyFill="1" applyBorder="1"/>
    <x:xf numFmtId="0" fontId="7" fillId="0" borderId="3" xfId="0" applyNumberFormat="1" applyFont="1" applyFill="1" applyBorder="1"/>
    <x:xf numFmtId="0" fontId="3" fillId="3" borderId="4" xfId="0" applyNumberFormat="1" applyFont="1" applyFill="1" applyBorder="1"/>
    <x:xf numFmtId="0" fontId="7" fillId="0" borderId="4"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0" fillId="4" borderId="0" xfId="0" applyNumberFormat="1" applyFont="1" applyFill="1" applyBorder="1"/>
    <x:xf numFmtId="0" fontId="8" fillId="4" borderId="0" xfId="0" applyNumberFormat="1" applyFont="1" applyFill="1" applyBorder="1"/>
  </x:cellXfs>
  <x:cellStyles count="1">
    <x:cellStyle name="Normal" xfId="0"/>
  </x:cellStyles>
  <x:dxfs count="24">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
      <x:font>
        <x:b/>
        <x:color rgb="FF196127"/>
      </x:font>
      <x:fill>
        <x:patternFill patternType="solid">
          <x:bgColor rgb="FFE6F4EA"/>
        </x:patternFill>
      </x:fill>
    </x:dxf>
    <x:dxf>
      <x:font>
        <x:b/>
        <x:color rgb="FF8A5A00"/>
      </x:font>
      <x:fill>
        <x:patternFill patternType="solid">
          <x:bgColor rgb="FFFFF4D6"/>
        </x:patternFill>
      </x:fill>
    </x:dxf>
    <x:dxf>
      <x:font>
        <x:b/>
        <x:color rgb="FFA61B1B"/>
      </x:font>
      <x:fill>
        <x:patternFill patternType="solid">
          <x:bgColor rgb="FFFDE9E7"/>
        </x:patternFill>
      </x:fill>
    </x:dxf>
    <x:dxf>
      <x:font>
        <x:b/>
        <x:color rgb="FF4A5560"/>
      </x:font>
      <x:fill>
        <x:patternFill patternType="solid">
          <x:bgColor rgb="FFEEF1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b8c613ccf34a46" /><Relationship Type="http://schemas.openxmlformats.org/officeDocument/2006/relationships/theme" Target="/xl/theme/theme1.xml" Id="R129fdbaf460546ea" /><Relationship Type="http://schemas.openxmlformats.org/officeDocument/2006/relationships/sharedStrings" Target="/xl/sharedStrings.xml" Id="R72e4d1f4993e4985" /><Relationship Type="http://schemas.openxmlformats.org/officeDocument/2006/relationships/worksheet" Target="/xl/worksheets/sheet1.xml" Id="R68d43e416ee44319" /><Relationship Type="http://schemas.openxmlformats.org/officeDocument/2006/relationships/worksheet" Target="/xl/worksheets/sheet2.xml" Id="Rcb60a8da6a7845d7" /><Relationship Type="http://schemas.openxmlformats.org/officeDocument/2006/relationships/worksheet" Target="/xl/worksheets/sheet3.xml" Id="R31996edffa194d97" /><Relationship Type="http://schemas.openxmlformats.org/officeDocument/2006/relationships/worksheet" Target="/xl/worksheets/sheet4.xml" Id="R4e51db1e65e74b61" /><Relationship Type="http://schemas.openxmlformats.org/officeDocument/2006/relationships/worksheet" Target="/xl/worksheets/sheet5.xml" Id="R2f88f81abd174f7e" /><Relationship Type="http://schemas.openxmlformats.org/officeDocument/2006/relationships/worksheet" Target="/xl/worksheets/sheet6.xml" Id="Rb9f3656b3d204700" /><Relationship Type="http://schemas.openxmlformats.org/officeDocument/2006/relationships/worksheet" Target="/xl/worksheets/sheet7.xml" Id="R6cdb974f6b78423c" /><Relationship Type="http://schemas.openxmlformats.org/officeDocument/2006/relationships/worksheet" Target="/xl/worksheets/sheet8.xml" Id="R9c52853481b94e06" /></Relationships>
</file>

<file path=xl/tables/table1.xml><?xml version="1.0" encoding="utf-8"?>
<x:table xmlns:x="http://schemas.openxmlformats.org/spreadsheetml/2006/main" id="1" name="AttributesTable" displayName="AttributesTable" ref="A5:J54" headerRowCount="1" totalsRowCount="0" totalsRowShown="0">
  <x:tableColumns count="10">
    <x:tableColumn id="1" name="attribute_id"/>
    <x:tableColumn id="2" name="category"/>
    <x:tableColumn id="3" name="group"/>
    <x:tableColumn id="4" name="attribute_name"/>
    <x:tableColumn id="5" name="data_type"/>
    <x:tableColumn id="6" name="allowed_values_or_examples"/>
    <x:tableColumn id="7" name="why_it_matters"/>
    <x:tableColumn id="8" name="triggered_rule_ids"/>
    <x:tableColumn id="9" name="mvp_priority"/>
    <x:tableColumn id="10" name="status"/>
  </x:tableColumns>
  <x:tableStyleInfo name="TableStyleMedium2" showFirstColumn="0" showLastColumn="0" showRowStripes="1" showColumnStripes="0"/>
</x:table>
</file>

<file path=xl/tables/table2.xml><?xml version="1.0" encoding="utf-8"?>
<x:table xmlns:x="http://schemas.openxmlformats.org/spreadsheetml/2006/main" id="2" name="RulesTable" displayName="RulesTable" ref="A5:Q46" headerRowCount="1" totalsRowCount="0" totalsRowShown="0">
  <x:tableColumns count="17">
    <x:tableColumn id="1" name="rule_id"/>
    <x:tableColumn id="2" name="category"/>
    <x:tableColumn id="3" name="requirement"/>
    <x:tableColumn id="4" name="requirement_type"/>
    <x:tableColumn id="5" name="trigger_conditions"/>
    <x:tableColumn id="6" name="jurisdiction"/>
    <x:tableColumn id="7" name="authority"/>
    <x:tableColumn id="8" name="required_tests"/>
    <x:tableColumn id="9" name="required_certificates_documents"/>
    <x:tableColumn id="10" name="seller_importer_actions"/>
    <x:tableColumn id="11" name="labeling_manual_requirements"/>
    <x:tableColumn id="12" name="risk_if_missing"/>
    <x:tableColumn id="13" name="effective_update_date"/>
    <x:tableColumn id="14" name="source_ids"/>
    <x:tableColumn id="15" name="verification_status"/>
    <x:tableColumn id="16" name="mvp_priority"/>
    <x:tableColumn id="17" name="applicability_notes"/>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L56" headerRowCount="1" totalsRowCount="0" totalsRowShown="0">
  <x:tableColumns count="12">
    <x:tableColumn id="1" name="source_id"/>
    <x:tableColumn id="2" name="authority"/>
    <x:tableColumn id="3" name="page_document_title"/>
    <x:tableColumn id="4" name="canonical_url"/>
    <x:tableColumn id="5" name="source_type"/>
    <x:tableColumn id="6" name="tier"/>
    <x:tableColumn id="7" name="jurisdiction"/>
    <x:tableColumn id="8" name="topics"/>
    <x:tableColumn id="9" name="access_check_date"/>
    <x:tableColumn id="10" name="effective_update_date"/>
    <x:tableColumn id="11" name="short_supporting_evidence"/>
    <x:tableColumn id="12" name="verification_status"/>
  </x:tableColumns>
  <x:tableStyleInfo name="TableStyleMedium2" showFirstColumn="0" showLastColumn="0" showRowStripes="1" showColumnStripes="0"/>
</x:table>
</file>

<file path=xl/tables/table4.xml><?xml version="1.0" encoding="utf-8"?>
<x:table xmlns:x="http://schemas.openxmlformats.org/spreadsheetml/2006/main" id="4" name="CostsTable" displayName="CostsTable" ref="A5:L13" headerRowCount="1" totalsRowCount="0" totalsRowShown="0">
  <x:tableColumns count="12">
    <x:tableColumn id="1" name="cost_id"/>
    <x:tableColumn id="2" name="compliance_action"/>
    <x:tableColumn id="3" name="category"/>
    <x:tableColumn id="4" name="amount_low"/>
    <x:tableColumn id="5" name="amount_high"/>
    <x:tableColumn id="6" name="currency"/>
    <x:tableColumn id="7" name="unit_basis"/>
    <x:tableColumn id="8" name="source_id"/>
    <x:tableColumn id="9" name="source_date"/>
    <x:tableColumn id="10" name="assumptions"/>
    <x:tableColumn id="11" name="estimate_status"/>
    <x:tableColumn id="12" name="verification_status"/>
  </x:tableColumns>
  <x:tableStyleInfo name="TableStyleMedium2" showFirstColumn="0" showLastColumn="0" showRowStripes="1" showColumnStripes="0"/>
</x:table>
</file>

<file path=xl/tables/table5.xml><?xml version="1.0" encoding="utf-8"?>
<x:table xmlns:x="http://schemas.openxmlformats.org/spreadsheetml/2006/main" id="5" name="GapsTable" displayName="GapsTable" ref="A5:F19" headerRowCount="1" totalsRowCount="0" totalsRowShown="0">
  <x:tableColumns count="6">
    <x:tableColumn id="1" name="gap_id"/>
    <x:tableColumn id="2" name="area"/>
    <x:tableColumn id="3" name="issue"/>
    <x:tableColumn id="4" name="status"/>
    <x:tableColumn id="5" name="evidence_reason"/>
    <x:tableColumn id="6" name="recommended_resolution"/>
  </x:tableColumns>
  <x:tableStyleInfo name="TableStyleMedium2" showFirstColumn="0" showLastColumn="0" showRowStripes="1" showColumnStripes="0"/>
</x:table>
</file>

<file path=xl/tables/table6.xml><?xml version="1.0" encoding="utf-8"?>
<x:table xmlns:x="http://schemas.openxmlformats.org/spreadsheetml/2006/main" id="6" name="MvpTable" displayName="MvpTable" ref="A5:G21" headerRowCount="1" totalsRowCount="0" totalsRowShown="0">
  <x:tableColumns count="7">
    <x:tableColumn id="1" name="subset_id"/>
    <x:tableColumn id="2" name="module"/>
    <x:tableColumn id="3" name="recommended_scope"/>
    <x:tableColumn id="4" name="rule_ids"/>
    <x:tableColumn id="5" name="priority"/>
    <x:tableColumn id="6" name="verification_status"/>
    <x:tableColumn id="7" name="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6cdfe6ceab4129" /></Relationships>
</file>

<file path=xl/worksheets/_rels/sheet3.xml.rels>&#65279;<?xml version="1.0" encoding="utf-8"?><Relationships xmlns="http://schemas.openxmlformats.org/package/2006/relationships"><Relationship Type="http://schemas.openxmlformats.org/officeDocument/2006/relationships/table" Target="/xl/tables/table2.xml" Id="Rb5bf1f6b8ebe4d07" /></Relationships>
</file>

<file path=xl/worksheets/_rels/sheet4.xml.rels>&#65279;<?xml version="1.0" encoding="utf-8"?><Relationships xmlns="http://schemas.openxmlformats.org/package/2006/relationships"><Relationship Type="http://schemas.openxmlformats.org/officeDocument/2006/relationships/table" Target="/xl/tables/table3.xml" Id="R3869b1b8a0e84579" /></Relationships>
</file>

<file path=xl/worksheets/_rels/sheet5.xml.rels>&#65279;<?xml version="1.0" encoding="utf-8"?><Relationships xmlns="http://schemas.openxmlformats.org/package/2006/relationships"><Relationship Type="http://schemas.openxmlformats.org/officeDocument/2006/relationships/table" Target="/xl/tables/table4.xml" Id="R2ee48e28dd544b13" /></Relationships>
</file>

<file path=xl/worksheets/_rels/sheet6.xml.rels>&#65279;<?xml version="1.0" encoding="utf-8"?><Relationships xmlns="http://schemas.openxmlformats.org/package/2006/relationships"><Relationship Type="http://schemas.openxmlformats.org/officeDocument/2006/relationships/table" Target="/xl/tables/table5.xml" Id="Rf9fc9241fb664ba8" /></Relationships>
</file>

<file path=xl/worksheets/_rels/sheet7.xml.rels>&#65279;<?xml version="1.0" encoding="utf-8"?><Relationships xmlns="http://schemas.openxmlformats.org/package/2006/relationships"><Relationship Type="http://schemas.openxmlformats.org/officeDocument/2006/relationships/table" Target="/xl/tables/table6.xml" Id="R6419ac825c844960" /></Relationships>
</file>

<file path=xl/worksheets/sheet1.xml><?xml version="1.0" encoding="utf-8"?>
<x:worksheet xmlns:x="http://schemas.openxmlformats.org/spreadsheetml/2006/main">
  <x:sheetPr>
    <x:tabColor rgb="FF6B7280"/>
  </x:sheetPr>
  <x:sheetViews>
    <x:sheetView showGridLines="0" workbookViewId="0"/>
  </x:sheetViews>
  <x:sheetFormatPr defaultRowHeight="15"/>
  <x:cols>
    <x:col min="1" max="1" width="22" hidden="0" customWidth="1"/>
    <x:col min="2" max="2" width="105" hidden="0" customWidth="1"/>
  </x:cols>
  <x:sheetData>
    <x:row r="2">
      <x:c r="A2" s="1" t="str">
        <x:v>ImportReady AI US import risk dataset</x:v>
      </x:c>
    </x:row>
    <x:row r="3">
      <x:c r="A3" s="2" t="str">
        <x:v>Research date 2026-09-09 | Scope: two product categories, not two fixed products</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6" ht="38" customHeight="1">
      <x:c r="A6" s="10" t="str">
        <x:v>Purpose</x:v>
      </x:c>
      <x:c r="B6" s="11" t="str">
        <x:v>Source-grounded routing data for a four-day MVP covering children's toys and small consumer electronics sold in the USA through Amazon or eBay.</x:v>
      </x:c>
    </x:row>
    <x:row r="7" ht="38" customHeight="1">
      <x:c r="A7" s="12" t="str">
        <x:v>Decision logic</x:v>
      </x:c>
      <x:c r="B7" s="13" t="str">
        <x:v>Product → category → attributes → rule triggers → applicable requirements.</x:v>
      </x:c>
    </x:row>
    <x:row r="8" ht="38" customHeight="1">
      <x:c r="A8" s="12" t="str">
        <x:v>VERIFIED</x:v>
      </x:c>
      <x:c r="B8" s="13" t="str">
        <x:v>Claim checked against the listed authoritative source.</x:v>
      </x:c>
    </x:row>
    <x:row r="9" ht="38" customHeight="1">
      <x:c r="A9" s="12" t="str">
        <x:v>UNVERIFIED</x:v>
      </x:c>
      <x:c r="B9" s="13" t="str">
        <x:v>Evidence or product facts were insufficient; requires review.</x:v>
      </x:c>
    </x:row>
    <x:row r="10" ht="38" customHeight="1">
      <x:c r="A10" s="12" t="str">
        <x:v>CONFLICT</x:v>
      </x:c>
      <x:c r="B10" s="13" t="str">
        <x:v>Authorities, classifications, or scopes can produce competing paths; do not silently resolve.</x:v>
      </x:c>
    </x:row>
    <x:row r="11" ht="38" customHeight="1">
      <x:c r="A11" s="12" t="str">
        <x:v>NOT FOUND</x:v>
      </x:c>
      <x:c r="B11" s="13" t="str">
        <x:v>The requested fact or price was not found. This never means not required.</x:v>
      </x:c>
    </x:row>
    <x:row r="12" ht="38" customHeight="1">
      <x:c r="A12" s="12" t="str">
        <x:v>Federal vs platform</x:v>
      </x:c>
      <x:c r="B12" s="13" t="str">
        <x:v>Platform rules are stored separately from federal and state law. A platform document request does not replace legal compliance.</x:v>
      </x:c>
    </x:row>
    <x:row r="13" ht="38" customHeight="1">
      <x:c r="A13" s="12" t="str">
        <x:v>Costs</x:v>
      </x:c>
      <x:c r="B13" s="13" t="str">
        <x:v>Costs are kept separate from policy facts. Government estimates are not vendor quotes.</x:v>
      </x:c>
    </x:row>
    <x:row r="14" ht="38" customHeight="1">
      <x:c r="A14" s="12" t="str">
        <x:v>Important boundary</x:v>
      </x:c>
      <x:c r="B14" s="13" t="str">
        <x:v>Wooden blocks and Bluetooth earphones are examples only. Rules are driven by category and attributes.</x:v>
      </x:c>
    </x:row>
    <x:row r="15" ht="38" customHeight="1">
      <x:c r="A15" s="12" t="str">
        <x:v>Use</x:v>
      </x:c>
      <x:c r="B15" s="13" t="str">
        <x:v>Filter the Rule Matrix by category, priority, requirement type, status, and source ID. Follow source IDs into Sources for canonical URLs.</x:v>
      </x:c>
    </x:row>
    <x:row r="16" ht="38" customHeight="1">
      <x:c r="A16" s="14" t="str">
        <x:v>Disclaimer</x:v>
      </x:c>
      <x:c r="B16" s="15" t="str">
        <x:v>Research dataset for MVP design, not legal advice. Applicability depends on the finished product, claims, age grading, construction, components, shipping configuration, and sales jurisdictions.</x:v>
      </x:c>
    </x:row>
  </x:sheetData>
  <x:pageMargins left="0.7" right="0.7" top="0.75" bottom="0.75" header="0.3" footer="0.3"/>
</x:worksheet>
</file>

<file path=xl/worksheets/sheet2.xml><?xml version="1.0" encoding="utf-8"?>
<x:worksheet xmlns:x="http://schemas.openxmlformats.org/spreadsheetml/2006/main">
  <x:sheetPr>
    <x:tabColor rgb="FF2F6B9A"/>
  </x:sheetPr>
  <x:sheetViews>
    <x:sheetView showGridLines="0" workbookViewId="0">
      <x:pane xSplit="1" ySplit="5" topLeftCell="B6" activePane="bottomRight" state="frozen"/>
    </x:sheetView>
  </x:sheetViews>
  <x:sheetFormatPr defaultRowHeight="15"/>
  <x:cols>
    <x:col min="1" max="1" width="14" hidden="0" customWidth="1"/>
    <x:col min="2" max="2" width="22" hidden="0" customWidth="1"/>
    <x:col min="3" max="3" width="17" hidden="0" customWidth="1"/>
    <x:col min="4" max="4" width="28" hidden="0" customWidth="1"/>
    <x:col min="5" max="5" width="13" hidden="0" customWidth="1"/>
    <x:col min="6" max="6" width="32" hidden="0" customWidth="1"/>
    <x:col min="7" max="7" width="58" hidden="0" customWidth="1"/>
    <x:col min="8" max="8" width="28" hidden="0" customWidth="1"/>
    <x:col min="9" max="9" width="12" hidden="0" customWidth="1"/>
    <x:col min="10" max="10" width="14" hidden="0" customWidth="1"/>
  </x:cols>
  <x:sheetData>
    <x:row r="2">
      <x:c r="A2" s="1" t="str">
        <x:v>Product attribute taxonomy</x:v>
      </x:c>
    </x:row>
    <x:row r="3">
      <x:c r="A3" s="2" t="str">
        <x:v>Each field changes routing, scope, test selection, evidence, or labeling. P0 is the recommended four-day MVP.</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attribute_id</x:v>
      </x:c>
      <x:c r="B5" s="20" t="str">
        <x:v>category</x:v>
      </x:c>
      <x:c r="C5" s="20" t="str">
        <x:v>group</x:v>
      </x:c>
      <x:c r="D5" s="20" t="str">
        <x:v>attribute_name</x:v>
      </x:c>
      <x:c r="E5" s="20" t="str">
        <x:v>data_type</x:v>
      </x:c>
      <x:c r="F5" s="20" t="str">
        <x:v>allowed_values_or_examples</x:v>
      </x:c>
      <x:c r="G5" s="20" t="str">
        <x:v>why_it_matters</x:v>
      </x:c>
      <x:c r="H5" s="20" t="str">
        <x:v>triggered_rule_ids</x:v>
      </x:c>
      <x:c r="I5" s="20" t="str">
        <x:v>mvp_priority</x:v>
      </x:c>
      <x:c r="J5" s="20" t="str">
        <x:v>status</x:v>
      </x:c>
    </x:row>
    <x:row r="6" ht="48" customHeight="1">
      <x:c r="A6" s="24" t="str">
        <x:v>A-CMN-001</x:v>
      </x:c>
      <x:c r="B6" s="24" t="str">
        <x:v>Both</x:v>
      </x:c>
      <x:c r="C6" s="24" t="str">
        <x:v>Classification</x:v>
      </x:c>
      <x:c r="D6" s="24" t="str">
        <x:v>product_category</x:v>
      </x:c>
      <x:c r="E6" s="24" t="str">
        <x:v>enum</x:v>
      </x:c>
      <x:c r="F6" s="24" t="str">
        <x:v>children's toy | small consumer electronics | dual/uncertain</x:v>
      </x:c>
      <x:c r="G6" s="24" t="str">
        <x:v>Primary routing field. Dual or uncertain products require both rule sets until classification is resolved.</x:v>
      </x:c>
      <x:c r="H6" s="24" t="str">
        <x:v>R-TOY-001; R-ELEC-001</x:v>
      </x:c>
      <x:c r="I6" s="24" t="str">
        <x:v>P0</x:v>
      </x:c>
      <x:c r="J6" s="24" t="str">
        <x:v>VERIFIED</x:v>
      </x:c>
    </x:row>
    <x:row r="7" ht="48" customHeight="1">
      <x:c r="A7" s="25" t="str">
        <x:v>A-CMN-002</x:v>
      </x:c>
      <x:c r="B7" s="25" t="str">
        <x:v>Both</x:v>
      </x:c>
      <x:c r="C7" s="25" t="str">
        <x:v>Market</x:v>
      </x:c>
      <x:c r="D7" s="25" t="str">
        <x:v>country_of_origin</x:v>
      </x:c>
      <x:c r="E7" s="25" t="str">
        <x:v>text</x:v>
      </x:c>
      <x:c r="F7" s="25" t="str">
        <x:v>Country where article was manufactured or substantially transformed</x:v>
      </x:c>
      <x:c r="G7" s="25" t="str">
        <x:v>Triggers federal country-of-origin marking for imported articles or their containers.</x:v>
      </x:c>
      <x:c r="H7" s="25" t="str">
        <x:v>R-CMN-001</x:v>
      </x:c>
      <x:c r="I7" s="25" t="str">
        <x:v>P0</x:v>
      </x:c>
      <x:c r="J7" s="25" t="str">
        <x:v>VERIFIED</x:v>
      </x:c>
    </x:row>
    <x:row r="8" ht="48" customHeight="1">
      <x:c r="A8" s="25" t="str">
        <x:v>A-CMN-003</x:v>
      </x:c>
      <x:c r="B8" s="25" t="str">
        <x:v>Both</x:v>
      </x:c>
      <x:c r="C8" s="25" t="str">
        <x:v>Market</x:v>
      </x:c>
      <x:c r="D8" s="25" t="str">
        <x:v>sales_states</x:v>
      </x:c>
      <x:c r="E8" s="25" t="str">
        <x:v>multi-select</x:v>
      </x:c>
      <x:c r="F8" s="25" t="str">
        <x:v>US states and territories; California flag</x:v>
      </x:c>
      <x:c r="G8" s="25" t="str">
        <x:v>California sales trigger a Proposition 65 exposure screen; other state overlays remain a gap.</x:v>
      </x:c>
      <x:c r="H8" s="25" t="str">
        <x:v>R-CMN-002</x:v>
      </x:c>
      <x:c r="I8" s="25" t="str">
        <x:v>P0</x:v>
      </x:c>
      <x:c r="J8" s="25" t="str">
        <x:v>VERIFIED</x:v>
      </x:c>
    </x:row>
    <x:row r="9" ht="48" customHeight="1">
      <x:c r="A9" s="25" t="str">
        <x:v>A-CMN-004</x:v>
      </x:c>
      <x:c r="B9" s="25" t="str">
        <x:v>Both</x:v>
      </x:c>
      <x:c r="C9" s="25" t="str">
        <x:v>Platform</x:v>
      </x:c>
      <x:c r="D9" s="25" t="str">
        <x:v>marketplace</x:v>
      </x:c>
      <x:c r="E9" s="25" t="str">
        <x:v>multi-select</x:v>
      </x:c>
      <x:c r="F9" s="25" t="str">
        <x:v>Amazon | eBay | other</x:v>
      </x:c>
      <x:c r="G9" s="25" t="str">
        <x:v>Routes platform-specific evidence and listing controls separately from federal law.</x:v>
      </x:c>
      <x:c r="H9" s="25" t="str">
        <x:v>R-TOY-019; R-TOY-020; R-ELEC-014; R-ELEC-015; R-ELEC-016</x:v>
      </x:c>
      <x:c r="I9" s="25" t="str">
        <x:v>P0</x:v>
      </x:c>
      <x:c r="J9" s="25" t="str">
        <x:v>VERIFIED</x:v>
      </x:c>
    </x:row>
    <x:row r="10" ht="48" customHeight="1">
      <x:c r="A10" s="25" t="str">
        <x:v>A-CMN-005</x:v>
      </x:c>
      <x:c r="B10" s="25" t="str">
        <x:v>Both</x:v>
      </x:c>
      <x:c r="C10" s="25" t="str">
        <x:v>Change control</x:v>
      </x:c>
      <x:c r="D10" s="25" t="str">
        <x:v>material_or_design_change</x:v>
      </x:c>
      <x:c r="E10" s="25" t="str">
        <x:v>boolean</x:v>
      </x:c>
      <x:c r="F10" s="25" t="str">
        <x:v>yes | no</x:v>
      </x:c>
      <x:c r="G10" s="25" t="str">
        <x:v>A compliance-affecting material, design, process, supplier, or factory change may require new testing or authorization review.</x:v>
      </x:c>
      <x:c r="H10" s="25" t="str">
        <x:v>R-TOY-015; R-ELEC-013</x:v>
      </x:c>
      <x:c r="I10" s="25" t="str">
        <x:v>P0</x:v>
      </x:c>
      <x:c r="J10" s="25" t="str">
        <x:v>VERIFIED</x:v>
      </x:c>
    </x:row>
    <x:row r="11" ht="48" customHeight="1">
      <x:c r="A11" s="25" t="str">
        <x:v>A-TOY-001</x:v>
      </x:c>
      <x:c r="B11" s="25" t="str">
        <x:v>Children's toys</x:v>
      </x:c>
      <x:c r="C11" s="25" t="str">
        <x:v>Age and intent</x:v>
      </x:c>
      <x:c r="D11" s="25" t="str">
        <x:v>intended_min_age_months</x:v>
      </x:c>
      <x:c r="E11" s="25" t="str">
        <x:v>integer</x:v>
      </x:c>
      <x:c r="F11" s="25" t="str">
        <x:v>0 and above</x:v>
      </x:c>
      <x:c r="G11" s="25" t="str">
        <x:v>Age drives child-product status, small-parts bans, warnings, and age-specific ASTM F963 sections.</x:v>
      </x:c>
      <x:c r="H11" s="25" t="str">
        <x:v>R-TOY-001; R-TOY-007; R-TOY-008</x:v>
      </x:c>
      <x:c r="I11" s="25" t="str">
        <x:v>P0</x:v>
      </x:c>
      <x:c r="J11" s="25" t="str">
        <x:v>VERIFIED</x:v>
      </x:c>
    </x:row>
    <x:row r="12" ht="48" customHeight="1">
      <x:c r="A12" s="25" t="str">
        <x:v>A-TOY-002</x:v>
      </x:c>
      <x:c r="B12" s="25" t="str">
        <x:v>Children's toys</x:v>
      </x:c>
      <x:c r="C12" s="25" t="str">
        <x:v>Age and intent</x:v>
      </x:c>
      <x:c r="D12" s="25" t="str">
        <x:v>intended_max_age_years</x:v>
      </x:c>
      <x:c r="E12" s="25" t="str">
        <x:v>decimal</x:v>
      </x:c>
      <x:c r="F12" s="25" t="str">
        <x:v>0 to 14+</x:v>
      </x:c>
      <x:c r="G12" s="25" t="str">
        <x:v>Toys are generally playthings for children under 14; CPSC children's-product testing applies through age 12.</x:v>
      </x:c>
      <x:c r="H12" s="25" t="str">
        <x:v>R-TOY-001; R-TOY-002; R-TOY-003</x:v>
      </x:c>
      <x:c r="I12" s="25" t="str">
        <x:v>P0</x:v>
      </x:c>
      <x:c r="J12" s="25" t="str">
        <x:v>VERIFIED</x:v>
      </x:c>
    </x:row>
    <x:row r="13" ht="48" customHeight="1">
      <x:c r="A13" s="25" t="str">
        <x:v>A-TOY-003</x:v>
      </x:c>
      <x:c r="B13" s="25" t="str">
        <x:v>Children's toys</x:v>
      </x:c>
      <x:c r="C13" s="25" t="str">
        <x:v>Age and intent</x:v>
      </x:c>
      <x:c r="D13" s="25" t="str">
        <x:v>child_appeal_factors</x:v>
      </x:c>
      <x:c r="E13" s="25" t="str">
        <x:v>multi-select</x:v>
      </x:c>
      <x:c r="F13" s="25" t="str">
        <x:v>labeling | packaging | advertising | size | theme | play value | customary recognition</x:v>
      </x:c>
      <x:c r="G13" s="25" t="str">
        <x:v>CPSC classification uses multiple factors; an age label alone does not control.</x:v>
      </x:c>
      <x:c r="H13" s="25" t="str">
        <x:v>R-TOY-001; R-ELEC-001</x:v>
      </x:c>
      <x:c r="I13" s="25" t="str">
        <x:v>P0</x:v>
      </x:c>
      <x:c r="J13" s="25" t="str">
        <x:v>VERIFIED</x:v>
      </x:c>
    </x:row>
    <x:row r="14" ht="48" customHeight="1">
      <x:c r="A14" s="25" t="str">
        <x:v>A-TOY-004</x:v>
      </x:c>
      <x:c r="B14" s="25" t="str">
        <x:v>Children's toys</x:v>
      </x:c>
      <x:c r="C14" s="25" t="str">
        <x:v>Mechanical</x:v>
      </x:c>
      <x:c r="D14" s="25" t="str">
        <x:v>small_part_as_received</x:v>
      </x:c>
      <x:c r="E14" s="25" t="str">
        <x:v>boolean</x:v>
      </x:c>
      <x:c r="F14" s="25" t="str">
        <x:v>yes | no | unknown</x:v>
      </x:c>
      <x:c r="G14" s="25" t="str">
        <x:v>A small part in a product for children under three may make the product a banned hazardous substance.</x:v>
      </x:c>
      <x:c r="H14" s="25" t="str">
        <x:v>R-TOY-007</x:v>
      </x:c>
      <x:c r="I14" s="25" t="str">
        <x:v>P0</x:v>
      </x:c>
      <x:c r="J14" s="25" t="str">
        <x:v>VERIFIED</x:v>
      </x:c>
    </x:row>
    <x:row r="15" ht="48" customHeight="1">
      <x:c r="A15" s="25" t="str">
        <x:v>A-TOY-005</x:v>
      </x:c>
      <x:c r="B15" s="25" t="str">
        <x:v>Children's toys</x:v>
      </x:c>
      <x:c r="C15" s="25" t="str">
        <x:v>Mechanical</x:v>
      </x:c>
      <x:c r="D15" s="25" t="str">
        <x:v>small_part_after_use_abuse</x:v>
      </x:c>
      <x:c r="E15" s="25" t="str">
        <x:v>boolean</x:v>
      </x:c>
      <x:c r="F15" s="25" t="str">
        <x:v>yes | no | unknown</x:v>
      </x:c>
      <x:c r="G15" s="25" t="str">
        <x:v>Use-and-abuse testing can liberate small components and trigger failure or warnings.</x:v>
      </x:c>
      <x:c r="H15" s="25" t="str">
        <x:v>R-TOY-007; R-TOY-008</x:v>
      </x:c>
      <x:c r="I15" s="25" t="str">
        <x:v>P0</x:v>
      </x:c>
      <x:c r="J15" s="25" t="str">
        <x:v>VERIFIED</x:v>
      </x:c>
    </x:row>
    <x:row r="16" ht="48" customHeight="1">
      <x:c r="A16" s="25" t="str">
        <x:v>A-TOY-006</x:v>
      </x:c>
      <x:c r="B16" s="25" t="str">
        <x:v>Children's toys</x:v>
      </x:c>
      <x:c r="C16" s="25" t="str">
        <x:v>Mechanical</x:v>
      </x:c>
      <x:c r="D16" s="25" t="str">
        <x:v>small_ball_marble_balloon</x:v>
      </x:c>
      <x:c r="E16" s="25" t="str">
        <x:v>multi-select</x:v>
      </x:c>
      <x:c r="F16" s="25" t="str">
        <x:v>small ball | marble | latex balloon | none</x:v>
      </x:c>
      <x:c r="G16" s="25" t="str">
        <x:v>These product forms have separate ban or warning rules beyond the general small-parts rule.</x:v>
      </x:c>
      <x:c r="H16" s="25" t="str">
        <x:v>R-TOY-009</x:v>
      </x:c>
      <x:c r="I16" s="25" t="str">
        <x:v>P1</x:v>
      </x:c>
      <x:c r="J16" s="25" t="str">
        <x:v>VERIFIED</x:v>
      </x:c>
    </x:row>
    <x:row r="17" ht="48" customHeight="1">
      <x:c r="A17" s="25" t="str">
        <x:v>A-TOY-007</x:v>
      </x:c>
      <x:c r="B17" s="25" t="str">
        <x:v>Children's toys</x:v>
      </x:c>
      <x:c r="C17" s="25" t="str">
        <x:v>Materials</x:v>
      </x:c>
      <x:c r="D17" s="25" t="str">
        <x:v>accessible_components</x:v>
      </x:c>
      <x:c r="E17" s="25" t="str">
        <x:v>structured list</x:v>
      </x:c>
      <x:c r="F17" s="25" t="str">
        <x:v>component name, material, accessibility, color, supplier</x:v>
      </x:c>
      <x:c r="G17" s="25" t="str">
        <x:v>Lead and phthalate testing is component- and accessibility-dependent.</x:v>
      </x:c>
      <x:c r="H17" s="25" t="str">
        <x:v>R-TOY-004; R-TOY-005; R-TOY-006</x:v>
      </x:c>
      <x:c r="I17" s="25" t="str">
        <x:v>P0</x:v>
      </x:c>
      <x:c r="J17" s="25" t="str">
        <x:v>VERIFIED</x:v>
      </x:c>
    </x:row>
    <x:row r="18" ht="48" customHeight="1">
      <x:c r="A18" s="25" t="str">
        <x:v>A-TOY-008</x:v>
      </x:c>
      <x:c r="B18" s="25" t="str">
        <x:v>Children's toys</x:v>
      </x:c>
      <x:c r="C18" s="25" t="str">
        <x:v>Materials</x:v>
      </x:c>
      <x:c r="D18" s="25" t="str">
        <x:v>surface_coating_present</x:v>
      </x:c>
      <x:c r="E18" s="25" t="str">
        <x:v>boolean</x:v>
      </x:c>
      <x:c r="F18" s="25" t="str">
        <x:v>yes | no | unknown</x:v>
      </x:c>
      <x:c r="G18" s="25" t="str">
        <x:v>Paint and similar surface coatings trigger the 90 ppm lead-in-paint rule and ASTM soluble-metals provisions.</x:v>
      </x:c>
      <x:c r="H18" s="25" t="str">
        <x:v>R-TOY-002; R-TOY-005</x:v>
      </x:c>
      <x:c r="I18" s="25" t="str">
        <x:v>P0</x:v>
      </x:c>
      <x:c r="J18" s="25" t="str">
        <x:v>VERIFIED</x:v>
      </x:c>
    </x:row>
    <x:row r="19" ht="48" customHeight="1">
      <x:c r="A19" s="25" t="str">
        <x:v>A-TOY-009</x:v>
      </x:c>
      <x:c r="B19" s="25" t="str">
        <x:v>Children's toys</x:v>
      </x:c>
      <x:c r="C19" s="25" t="str">
        <x:v>Materials</x:v>
      </x:c>
      <x:c r="D19" s="25" t="str">
        <x:v>coating_type_and_color</x:v>
      </x:c>
      <x:c r="E19" s="25" t="str">
        <x:v>structured list</x:v>
      </x:c>
      <x:c r="F19" s="25" t="str">
        <x:v>paint, lacquer, ink, electroplate, glaze; color</x:v>
      </x:c>
      <x:c r="G19" s="25" t="str">
        <x:v>Determines whether a material is a surface coating and helps define homogeneous test specimens.</x:v>
      </x:c>
      <x:c r="H19" s="25" t="str">
        <x:v>R-TOY-005</x:v>
      </x:c>
      <x:c r="I19" s="25" t="str">
        <x:v>P0</x:v>
      </x:c>
      <x:c r="J19" s="25" t="str">
        <x:v>VERIFIED</x:v>
      </x:c>
    </x:row>
    <x:row r="20" ht="48" customHeight="1">
      <x:c r="A20" s="25" t="str">
        <x:v>A-TOY-010</x:v>
      </x:c>
      <x:c r="B20" s="25" t="str">
        <x:v>Children's toys</x:v>
      </x:c>
      <x:c r="C20" s="25" t="str">
        <x:v>Materials</x:v>
      </x:c>
      <x:c r="D20" s="25" t="str">
        <x:v>plasticized_component_present</x:v>
      </x:c>
      <x:c r="E20" s="25" t="str">
        <x:v>boolean</x:v>
      </x:c>
      <x:c r="F20" s="25" t="str">
        <x:v>yes | no | unknown</x:v>
      </x:c>
      <x:c r="G20" s="25" t="str">
        <x:v>Accessible plasticized components trigger the eight-phthalate limit and testing analysis.</x:v>
      </x:c>
      <x:c r="H20" s="25" t="str">
        <x:v>R-TOY-006</x:v>
      </x:c>
      <x:c r="I20" s="25" t="str">
        <x:v>P0</x:v>
      </x:c>
      <x:c r="J20" s="25" t="str">
        <x:v>VERIFIED</x:v>
      </x:c>
    </x:row>
    <x:row r="21" ht="48" customHeight="1">
      <x:c r="A21" s="25" t="str">
        <x:v>A-TOY-011</x:v>
      </x:c>
      <x:c r="B21" s="25" t="str">
        <x:v>Children's toys</x:v>
      </x:c>
      <x:c r="C21" s="25" t="str">
        <x:v>Materials</x:v>
      </x:c>
      <x:c r="D21" s="25" t="str">
        <x:v>material_testing_determination</x:v>
      </x:c>
      <x:c r="E21" s="25" t="str">
        <x:v>enum</x:v>
      </x:c>
      <x:c r="F21" s="25" t="str">
        <x:v>must test | determination/exemption candidate | inaccessible | unknown</x:v>
      </x:c>
      <x:c r="G21" s="25" t="str">
        <x:v>Certain untreated natural materials, paper, and specified materials may not require third-party testing, but still must comply and be cited on the CPC.</x:v>
      </x:c>
      <x:c r="H21" s="25" t="str">
        <x:v>R-TOY-003; R-TOY-004; R-TOY-006</x:v>
      </x:c>
      <x:c r="I21" s="25" t="str">
        <x:v>P0</x:v>
      </x:c>
      <x:c r="J21" s="25" t="str">
        <x:v>VERIFIED</x:v>
      </x:c>
    </x:row>
    <x:row r="22" ht="48" customHeight="1">
      <x:c r="A22" s="25" t="str">
        <x:v>A-TOY-012</x:v>
      </x:c>
      <x:c r="B22" s="25" t="str">
        <x:v>Children's toys</x:v>
      </x:c>
      <x:c r="C22" s="25" t="str">
        <x:v>Magnets</x:v>
      </x:c>
      <x:c r="D22" s="25" t="str">
        <x:v>magnet_present</x:v>
      </x:c>
      <x:c r="E22" s="25" t="str">
        <x:v>boolean</x:v>
      </x:c>
      <x:c r="F22" s="25" t="str">
        <x:v>yes | no</x:v>
      </x:c>
      <x:c r="G22" s="25" t="str">
        <x:v>Routes to ASTM F963 magnet requirements for toys; the general magnet rule expressly exempts compliant toys.</x:v>
      </x:c>
      <x:c r="H22" s="25" t="str">
        <x:v>R-TOY-010</x:v>
      </x:c>
      <x:c r="I22" s="25" t="str">
        <x:v>P0</x:v>
      </x:c>
      <x:c r="J22" s="25" t="str">
        <x:v>VERIFIED</x:v>
      </x:c>
    </x:row>
    <x:row r="23" ht="48" customHeight="1">
      <x:c r="A23" s="25" t="str">
        <x:v>A-TOY-013</x:v>
      </x:c>
      <x:c r="B23" s="25" t="str">
        <x:v>Children's toys</x:v>
      </x:c>
      <x:c r="C23" s="25" t="str">
        <x:v>Magnets</x:v>
      </x:c>
      <x:c r="D23" s="25" t="str">
        <x:v>magnet_small_and_loose_or_separable</x:v>
      </x:c>
      <x:c r="E23" s="25" t="str">
        <x:v>boolean</x:v>
      </x:c>
      <x:c r="F23" s="25" t="str">
        <x:v>yes | no | unknown</x:v>
      </x:c>
      <x:c r="G23" s="25" t="str">
        <x:v>Small, loose or liberated high-powered magnets are the principal ingestion trigger.</x:v>
      </x:c>
      <x:c r="H23" s="25" t="str">
        <x:v>R-TOY-010</x:v>
      </x:c>
      <x:c r="I23" s="25" t="str">
        <x:v>P0</x:v>
      </x:c>
      <x:c r="J23" s="25" t="str">
        <x:v>VERIFIED</x:v>
      </x:c>
    </x:row>
    <x:row r="24" ht="48" customHeight="1">
      <x:c r="A24" s="25" t="str">
        <x:v>A-TOY-014</x:v>
      </x:c>
      <x:c r="B24" s="25" t="str">
        <x:v>Children's toys</x:v>
      </x:c>
      <x:c r="C24" s="25" t="str">
        <x:v>Magnets</x:v>
      </x:c>
      <x:c r="D24" s="25" t="str">
        <x:v>magnet_flux_index</x:v>
      </x:c>
      <x:c r="E24" s="25" t="str">
        <x:v>number</x:v>
      </x:c>
      <x:c r="F24" s="25" t="str">
        <x:v>kG² mm² or unknown</x:v>
      </x:c>
      <x:c r="G24" s="25" t="str">
        <x:v>Needed to assess high-powered magnet thresholds and test results.</x:v>
      </x:c>
      <x:c r="H24" s="25" t="str">
        <x:v>R-TOY-010</x:v>
      </x:c>
      <x:c r="I24" s="25" t="str">
        <x:v>P1</x:v>
      </x:c>
      <x:c r="J24" s="25" t="str">
        <x:v>VERIFIED</x:v>
      </x:c>
    </x:row>
    <x:row r="25" ht="48" customHeight="1">
      <x:c r="A25" s="25" t="str">
        <x:v>A-TOY-015</x:v>
      </x:c>
      <x:c r="B25" s="25" t="str">
        <x:v>Children's toys</x:v>
      </x:c>
      <x:c r="C25" s="25" t="str">
        <x:v>Batteries</x:v>
      </x:c>
      <x:c r="D25" s="25" t="str">
        <x:v>battery_operated</x:v>
      </x:c>
      <x:c r="E25" s="25" t="str">
        <x:v>boolean</x:v>
      </x:c>
      <x:c r="F25" s="25" t="str">
        <x:v>yes | no</x:v>
      </x:c>
      <x:c r="G25" s="25" t="str">
        <x:v>Triggers ASTM F963 section 4.25 and battery-accessibility evaluation.</x:v>
      </x:c>
      <x:c r="H25" s="25" t="str">
        <x:v>R-TOY-011</x:v>
      </x:c>
      <x:c r="I25" s="25" t="str">
        <x:v>P0</x:v>
      </x:c>
      <x:c r="J25" s="25" t="str">
        <x:v>VERIFIED</x:v>
      </x:c>
    </x:row>
    <x:row r="26" ht="48" customHeight="1">
      <x:c r="A26" s="25" t="str">
        <x:v>A-TOY-016</x:v>
      </x:c>
      <x:c r="B26" s="25" t="str">
        <x:v>Children's toys</x:v>
      </x:c>
      <x:c r="C26" s="25" t="str">
        <x:v>Batteries</x:v>
      </x:c>
      <x:c r="D26" s="25" t="str">
        <x:v>button_or_coin_cell</x:v>
      </x:c>
      <x:c r="E26" s="25" t="str">
        <x:v>boolean</x:v>
      </x:c>
      <x:c r="F26" s="25" t="str">
        <x:v>yes | no</x:v>
      </x:c>
      <x:c r="G26" s="25" t="str">
        <x:v>Toy button/coin cells are routed through ASTM F963 battery requirements; separately packaged included cells add packaging duties.</x:v>
      </x:c>
      <x:c r="H26" s="25" t="str">
        <x:v>R-TOY-011; R-TOY-012</x:v>
      </x:c>
      <x:c r="I26" s="25" t="str">
        <x:v>P0</x:v>
      </x:c>
      <x:c r="J26" s="25" t="str">
        <x:v>VERIFIED</x:v>
      </x:c>
    </x:row>
    <x:row r="27" ht="48" customHeight="1">
      <x:c r="A27" s="25" t="str">
        <x:v>A-TOY-017</x:v>
      </x:c>
      <x:c r="B27" s="25" t="str">
        <x:v>Children's toys</x:v>
      </x:c>
      <x:c r="C27" s="25" t="str">
        <x:v>Batteries</x:v>
      </x:c>
      <x:c r="D27" s="25" t="str">
        <x:v>battery_replaceability_and_access</x:v>
      </x:c>
      <x:c r="E27" s="25" t="str">
        <x:v>enum</x:v>
      </x:c>
      <x:c r="F27" s="25" t="str">
        <x:v>not replaceable | tool access | two independent actions | directly accessible | unknown</x:v>
      </x:c>
      <x:c r="G27" s="25" t="str">
        <x:v>Determines compartment security and whether the battery is accessible after use-and-abuse tests.</x:v>
      </x:c>
      <x:c r="H27" s="25" t="str">
        <x:v>R-TOY-011; R-TOY-012</x:v>
      </x:c>
      <x:c r="I27" s="25" t="str">
        <x:v>P0</x:v>
      </x:c>
      <x:c r="J27" s="25" t="str">
        <x:v>VERIFIED</x:v>
      </x:c>
    </x:row>
    <x:row r="28" ht="48" customHeight="1">
      <x:c r="A28" s="25" t="str">
        <x:v>A-TOY-018</x:v>
      </x:c>
      <x:c r="B28" s="25" t="str">
        <x:v>Children's toys</x:v>
      </x:c>
      <x:c r="C28" s="25" t="str">
        <x:v>Batteries</x:v>
      </x:c>
      <x:c r="D28" s="25" t="str">
        <x:v>battery_packaged_separately_with_product</x:v>
      </x:c>
      <x:c r="E28" s="25" t="str">
        <x:v>boolean</x:v>
      </x:c>
      <x:c r="F28" s="25" t="str">
        <x:v>yes | no</x:v>
      </x:c>
      <x:c r="G28" s="25" t="str">
        <x:v>A separately packaged button/coin cell included with the toy triggers battery-package labeling and special-packaging analysis.</x:v>
      </x:c>
      <x:c r="H28" s="25" t="str">
        <x:v>R-TOY-012</x:v>
      </x:c>
      <x:c r="I28" s="25" t="str">
        <x:v>P0</x:v>
      </x:c>
      <x:c r="J28" s="25" t="str">
        <x:v>VERIFIED</x:v>
      </x:c>
    </x:row>
    <x:row r="29" ht="48" customHeight="1">
      <x:c r="A29" s="25" t="str">
        <x:v>A-TOY-019</x:v>
      </x:c>
      <x:c r="B29" s="25" t="str">
        <x:v>Children's toys</x:v>
      </x:c>
      <x:c r="C29" s="25" t="str">
        <x:v>Electrical</x:v>
      </x:c>
      <x:c r="D29" s="25" t="str">
        <x:v>powered_from_120v_branch_circuit</x:v>
      </x:c>
      <x:c r="E29" s="25" t="str">
        <x:v>boolean</x:v>
      </x:c>
      <x:c r="F29" s="25" t="str">
        <x:v>yes | no</x:v>
      </x:c>
      <x:c r="G29" s="25" t="str">
        <x:v>Direct 110–125 V operation triggers 16 CFR part 1505; circuits at 30 V rms or less are excluded from that definition.</x:v>
      </x:c>
      <x:c r="H29" s="25" t="str">
        <x:v>R-TOY-013</x:v>
      </x:c>
      <x:c r="I29" s="25" t="str">
        <x:v>P0</x:v>
      </x:c>
      <x:c r="J29" s="25" t="str">
        <x:v>VERIFIED</x:v>
      </x:c>
    </x:row>
    <x:row r="30" ht="48" customHeight="1">
      <x:c r="A30" s="25" t="str">
        <x:v>A-TOY-020</x:v>
      </x:c>
      <x:c r="B30" s="25" t="str">
        <x:v>Children's toys</x:v>
      </x:c>
      <x:c r="C30" s="25" t="str">
        <x:v>Specialty</x:v>
      </x:c>
      <x:c r="D30" s="25" t="str">
        <x:v>toy_feature_types</x:v>
      </x:c>
      <x:c r="E30" s="25" t="str">
        <x:v>multi-select</x:v>
      </x:c>
      <x:c r="F30" s="25" t="str">
        <x:v>sound | projectile | ride-on | crib/playpen attachment | teether | rattle | squeeze | stuffed/beanbag | toy chest | other</x:v>
      </x:c>
      <x:c r="G30" s="25" t="str">
        <x:v>Routes to specific ASTM F963 sections; the MVP should not assume the common mechanical sections are exhaustive.</x:v>
      </x:c>
      <x:c r="H30" s="25" t="str">
        <x:v>R-TOY-002</x:v>
      </x:c>
      <x:c r="I30" s="25" t="str">
        <x:v>P1</x:v>
      </x:c>
      <x:c r="J30" s="25" t="str">
        <x:v>VERIFIED</x:v>
      </x:c>
    </x:row>
    <x:row r="31" ht="48" customHeight="1">
      <x:c r="A31" s="25" t="str">
        <x:v>A-TOY-021</x:v>
      </x:c>
      <x:c r="B31" s="25" t="str">
        <x:v>Children's toys</x:v>
      </x:c>
      <x:c r="C31" s="25" t="str">
        <x:v>Specialty</x:v>
      </x:c>
      <x:c r="D31" s="25" t="str">
        <x:v>water_bead_or_expanding_polymer</x:v>
      </x:c>
      <x:c r="E31" s="25" t="str">
        <x:v>enum</x:v>
      </x:c>
      <x:c r="F31" s="25" t="str">
        <x:v>water bead toy | contained water beads | other expanding material | none</x:v>
      </x:c>
      <x:c r="G31" s="25" t="str">
        <x:v>Water-bead toys now have specific federal size, acrylamide, warning, and instructional requirements.</x:v>
      </x:c>
      <x:c r="H31" s="25" t="str">
        <x:v>R-TOY-017</x:v>
      </x:c>
      <x:c r="I31" s="25" t="str">
        <x:v>P1</x:v>
      </x:c>
      <x:c r="J31" s="25" t="str">
        <x:v>VERIFIED</x:v>
      </x:c>
    </x:row>
    <x:row r="32" ht="48" customHeight="1">
      <x:c r="A32" s="25" t="str">
        <x:v>A-TOY-022</x:v>
      </x:c>
      <x:c r="B32" s="25" t="str">
        <x:v>Children's toys</x:v>
      </x:c>
      <x:c r="C32" s="25" t="str">
        <x:v>Specialty</x:v>
      </x:c>
      <x:c r="D32" s="25" t="str">
        <x:v>neck_float</x:v>
      </x:c>
      <x:c r="E32" s="25" t="str">
        <x:v>boolean</x:v>
      </x:c>
      <x:c r="F32" s="25" t="str">
        <x:v>yes | no</x:v>
      </x:c>
      <x:c r="G32" s="25" t="str">
        <x:v>Neck floats intended for children through age four have federal conditioning, buoyancy, restraint, fit, warning, and manual rules effective in 2026.</x:v>
      </x:c>
      <x:c r="H32" s="25" t="str">
        <x:v>R-TOY-018</x:v>
      </x:c>
      <x:c r="I32" s="25" t="str">
        <x:v>P1</x:v>
      </x:c>
      <x:c r="J32" s="25" t="str">
        <x:v>VERIFIED</x:v>
      </x:c>
    </x:row>
    <x:row r="33" ht="48" customHeight="1">
      <x:c r="A33" s="25" t="str">
        <x:v>A-TOY-023</x:v>
      </x:c>
      <x:c r="B33" s="25" t="str">
        <x:v>Children's toys</x:v>
      </x:c>
      <x:c r="C33" s="25" t="str">
        <x:v>Production</x:v>
      </x:c>
      <x:c r="D33" s="25" t="str">
        <x:v>continuous_production</x:v>
      </x:c>
      <x:c r="E33" s="25" t="str">
        <x:v>boolean</x:v>
      </x:c>
      <x:c r="F33" s="25" t="str">
        <x:v>yes | no</x:v>
      </x:c>
      <x:c r="G33" s="25" t="str">
        <x:v>Continuous production activates periodic testing plans and recordkeeping after initial certification.</x:v>
      </x:c>
      <x:c r="H33" s="25" t="str">
        <x:v>R-TOY-016</x:v>
      </x:c>
      <x:c r="I33" s="25" t="str">
        <x:v>P1</x:v>
      </x:c>
      <x:c r="J33" s="25" t="str">
        <x:v>VERIFIED</x:v>
      </x:c>
    </x:row>
    <x:row r="34" ht="48" customHeight="1">
      <x:c r="A34" s="25" t="str">
        <x:v>A-ELEC-001</x:v>
      </x:c>
      <x:c r="B34" s="25" t="str">
        <x:v>Small consumer electronics</x:v>
      </x:c>
      <x:c r="C34" s="25" t="str">
        <x:v>Classification</x:v>
      </x:c>
      <x:c r="D34" s="25" t="str">
        <x:v>child_targeted_electronics</x:v>
      </x:c>
      <x:c r="E34" s="25" t="str">
        <x:v>boolean</x:v>
      </x:c>
      <x:c r="F34" s="25" t="str">
        <x:v>yes | no | uncertain</x:v>
      </x:c>
      <x:c r="G34" s="25" t="str">
        <x:v>Child-targeted electronics may be children's products or toys and must not be routed solely through the electronics rules.</x:v>
      </x:c>
      <x:c r="H34" s="25" t="str">
        <x:v>R-ELEC-001; R-TOY-001</x:v>
      </x:c>
      <x:c r="I34" s="25" t="str">
        <x:v>P0</x:v>
      </x:c>
      <x:c r="J34" s="25" t="str">
        <x:v>VERIFIED</x:v>
      </x:c>
    </x:row>
    <x:row r="35" ht="48" customHeight="1">
      <x:c r="A35" s="25" t="str">
        <x:v>A-ELEC-002</x:v>
      </x:c>
      <x:c r="B35" s="25" t="str">
        <x:v>Small consumer electronics</x:v>
      </x:c>
      <x:c r="C35" s="25" t="str">
        <x:v>RF and EMC</x:v>
      </x:c>
      <x:c r="D35" s="25" t="str">
        <x:v>intentional_rf_transmitter</x:v>
      </x:c>
      <x:c r="E35" s="25" t="str">
        <x:v>boolean</x:v>
      </x:c>
      <x:c r="F35" s="25" t="str">
        <x:v>yes | no | unknown</x:v>
      </x:c>
      <x:c r="G35" s="25" t="str">
        <x:v>Bluetooth, Wi-Fi, cellular, NFC, or other intentional RF generally triggers FCC certification before marketing.</x:v>
      </x:c>
      <x:c r="H35" s="25" t="str">
        <x:v>R-ELEC-002</x:v>
      </x:c>
      <x:c r="I35" s="25" t="str">
        <x:v>P0</x:v>
      </x:c>
      <x:c r="J35" s="25" t="str">
        <x:v>VERIFIED</x:v>
      </x:c>
    </x:row>
    <x:row r="36" ht="48" customHeight="1">
      <x:c r="A36" s="25" t="str">
        <x:v>A-ELEC-003</x:v>
      </x:c>
      <x:c r="B36" s="25" t="str">
        <x:v>Small consumer electronics</x:v>
      </x:c>
      <x:c r="C36" s="25" t="str">
        <x:v>RF and EMC</x:v>
      </x:c>
      <x:c r="D36" s="25" t="str">
        <x:v>radio_protocols_and_bands</x:v>
      </x:c>
      <x:c r="E36" s="25" t="str">
        <x:v>structured list</x:v>
      </x:c>
      <x:c r="F36" s="25" t="str">
        <x:v>Bluetooth, Wi-Fi, NFC, cellular, proprietary; frequencies</x:v>
      </x:c>
      <x:c r="G36" s="25" t="str">
        <x:v>Selects the applicable Part 15 or licensed-service technical rules and test plan.</x:v>
      </x:c>
      <x:c r="H36" s="25" t="str">
        <x:v>R-ELEC-002; R-ELEC-007; R-ELEC-008</x:v>
      </x:c>
      <x:c r="I36" s="25" t="str">
        <x:v>P0</x:v>
      </x:c>
      <x:c r="J36" s="25" t="str">
        <x:v>VERIFIED</x:v>
      </x:c>
    </x:row>
    <x:row r="37" ht="48" customHeight="1">
      <x:c r="A37" s="25" t="str">
        <x:v>A-ELEC-004</x:v>
      </x:c>
      <x:c r="B37" s="25" t="str">
        <x:v>Small consumer electronics</x:v>
      </x:c>
      <x:c r="C37" s="25" t="str">
        <x:v>RF and EMC</x:v>
      </x:c>
      <x:c r="D37" s="25" t="str">
        <x:v>digital_device_or_peripheral</x:v>
      </x:c>
      <x:c r="E37" s="25" t="str">
        <x:v>boolean</x:v>
      </x:c>
      <x:c r="F37" s="25" t="str">
        <x:v>yes | no</x:v>
      </x:c>
      <x:c r="G37" s="25" t="str">
        <x:v>Digital devices and peripherals are generally unintentional radiators subject to Part 15 Subpart B unless exempt.</x:v>
      </x:c>
      <x:c r="H37" s="25" t="str">
        <x:v>R-ELEC-003; R-ELEC-004</x:v>
      </x:c>
      <x:c r="I37" s="25" t="str">
        <x:v>P0</x:v>
      </x:c>
      <x:c r="J37" s="25" t="str">
        <x:v>VERIFIED</x:v>
      </x:c>
    </x:row>
    <x:row r="38" ht="48" customHeight="1">
      <x:c r="A38" s="25" t="str">
        <x:v>A-ELEC-005</x:v>
      </x:c>
      <x:c r="B38" s="25" t="str">
        <x:v>Small consumer electronics</x:v>
      </x:c>
      <x:c r="C38" s="25" t="str">
        <x:v>RF and EMC</x:v>
      </x:c>
      <x:c r="D38" s="25" t="str">
        <x:v>highest_generated_or_used_frequency_mhz</x:v>
      </x:c>
      <x:c r="E38" s="25" t="str">
        <x:v>number</x:v>
      </x:c>
      <x:c r="F38" s="25" t="str">
        <x:v>MHz</x:v>
      </x:c>
      <x:c r="G38" s="25" t="str">
        <x:v>Needed for FCC digital-device classification and exemption screening.</x:v>
      </x:c>
      <x:c r="H38" s="25" t="str">
        <x:v>R-ELEC-003; R-ELEC-004</x:v>
      </x:c>
      <x:c r="I38" s="25" t="str">
        <x:v>P0</x:v>
      </x:c>
      <x:c r="J38" s="25" t="str">
        <x:v>VERIFIED</x:v>
      </x:c>
    </x:row>
    <x:row r="39" ht="48" customHeight="1">
      <x:c r="A39" s="25" t="str">
        <x:v>A-ELEC-006</x:v>
      </x:c>
      <x:c r="B39" s="25" t="str">
        <x:v>Small consumer electronics</x:v>
      </x:c>
      <x:c r="C39" s="25" t="str">
        <x:v>RF and EMC</x:v>
      </x:c>
      <x:c r="D39" s="25" t="str">
        <x:v>power_during_operation</x:v>
      </x:c>
      <x:c r="E39" s="25" t="str">
        <x:v>multi-select</x:v>
      </x:c>
      <x:c r="F39" s="25" t="str">
        <x:v>battery only | USB | AC adapter | mains | operates while charging</x:v>
      </x:c>
      <x:c r="G39" s="25" t="str">
        <x:v>Battery-only status and ability to operate while charging affect FCC conducted-emissions exemptions.</x:v>
      </x:c>
      <x:c r="H39" s="25" t="str">
        <x:v>R-ELEC-004; R-ELEC-010; R-ELEC-011</x:v>
      </x:c>
      <x:c r="I39" s="25" t="str">
        <x:v>P0</x:v>
      </x:c>
      <x:c r="J39" s="25" t="str">
        <x:v>VERIFIED</x:v>
      </x:c>
    </x:row>
    <x:row r="40" ht="48" customHeight="1">
      <x:c r="A40" s="25" t="str">
        <x:v>A-ELEC-007</x:v>
      </x:c>
      <x:c r="B40" s="25" t="str">
        <x:v>Small consumer electronics</x:v>
      </x:c>
      <x:c r="C40" s="25" t="str">
        <x:v>RF and EMC</x:v>
      </x:c>
      <x:c r="D40" s="25" t="str">
        <x:v>radio_module_status</x:v>
      </x:c>
      <x:c r="E40" s="25" t="str">
        <x:v>enum</x:v>
      </x:c>
      <x:c r="F40" s="25" t="str">
        <x:v>fully certified module | limited modular approval | custom radio | unknown</x:v>
      </x:c>
      <x:c r="G40" s="25" t="str">
        <x:v>A certified module may reduce transmitter testing, but host integration, emissions, RF exposure, labeling, and grant conditions still require review.</x:v>
      </x:c>
      <x:c r="H40" s="25" t="str">
        <x:v>R-ELEC-009</x:v>
      </x:c>
      <x:c r="I40" s="25" t="str">
        <x:v>P0</x:v>
      </x:c>
      <x:c r="J40" s="25" t="str">
        <x:v>VERIFIED</x:v>
      </x:c>
    </x:row>
    <x:row r="41" ht="48" customHeight="1">
      <x:c r="A41" s="25" t="str">
        <x:v>A-ELEC-008</x:v>
      </x:c>
      <x:c r="B41" s="25" t="str">
        <x:v>Small consumer electronics</x:v>
      </x:c>
      <x:c r="C41" s="25" t="str">
        <x:v>RF and EMC</x:v>
      </x:c>
      <x:c r="D41" s="25" t="str">
        <x:v>module_fcc_id_and_grant_conditions</x:v>
      </x:c>
      <x:c r="E41" s="25" t="str">
        <x:v>structured text</x:v>
      </x:c>
      <x:c r="F41" s="25" t="str">
        <x:v>FCC ID, antennas, power, host restrictions, co-location conditions</x:v>
      </x:c>
      <x:c r="G41" s="25" t="str">
        <x:v>Determines whether the intended host installation is covered by the module authorization.</x:v>
      </x:c>
      <x:c r="H41" s="25" t="str">
        <x:v>R-ELEC-009</x:v>
      </x:c>
      <x:c r="I41" s="25" t="str">
        <x:v>P0</x:v>
      </x:c>
      <x:c r="J41" s="25" t="str">
        <x:v>VERIFIED</x:v>
      </x:c>
    </x:row>
    <x:row r="42" ht="48" customHeight="1">
      <x:c r="A42" s="25" t="str">
        <x:v>A-ELEC-009</x:v>
      </x:c>
      <x:c r="B42" s="25" t="str">
        <x:v>Small consumer electronics</x:v>
      </x:c>
      <x:c r="C42" s="25" t="str">
        <x:v>RF exposure</x:v>
      </x:c>
      <x:c r="D42" s="25" t="str">
        <x:v>minimum_body_separation_cm</x:v>
      </x:c>
      <x:c r="E42" s="25" t="str">
        <x:v>number</x:v>
      </x:c>
      <x:c r="F42" s="25" t="str">
        <x:v>0 and above</x:v>
      </x:c>
      <x:c r="G42" s="25" t="str">
        <x:v>Below 20 cm is portable-device analysis; at least 20 cm is mobile-device analysis, subject to actual use configuration.</x:v>
      </x:c>
      <x:c r="H42" s="25" t="str">
        <x:v>R-ELEC-007; R-ELEC-008</x:v>
      </x:c>
      <x:c r="I42" s="25" t="str">
        <x:v>P0</x:v>
      </x:c>
      <x:c r="J42" s="25" t="str">
        <x:v>VERIFIED</x:v>
      </x:c>
    </x:row>
    <x:row r="43" ht="48" customHeight="1">
      <x:c r="A43" s="25" t="str">
        <x:v>A-ELEC-010</x:v>
      </x:c>
      <x:c r="B43" s="25" t="str">
        <x:v>Small consumer electronics</x:v>
      </x:c>
      <x:c r="C43" s="25" t="str">
        <x:v>RF exposure</x:v>
      </x:c>
      <x:c r="D43" s="25" t="str">
        <x:v>simultaneous_transmitters</x:v>
      </x:c>
      <x:c r="E43" s="25" t="str">
        <x:v>integer</x:v>
      </x:c>
      <x:c r="F43" s="25" t="str">
        <x:v>0 and above</x:v>
      </x:c>
      <x:c r="G43" s="25" t="str">
        <x:v>Multiple simultaneous RF sources require an aggregate exemption or exposure evaluation.</x:v>
      </x:c>
      <x:c r="H43" s="25" t="str">
        <x:v>R-ELEC-007; R-ELEC-008</x:v>
      </x:c>
      <x:c r="I43" s="25" t="str">
        <x:v>P1</x:v>
      </x:c>
      <x:c r="J43" s="25" t="str">
        <x:v>VERIFIED</x:v>
      </x:c>
    </x:row>
    <x:row r="44" ht="48" customHeight="1">
      <x:c r="A44" s="25" t="str">
        <x:v>A-ELEC-011</x:v>
      </x:c>
      <x:c r="B44" s="25" t="str">
        <x:v>Small consumer electronics</x:v>
      </x:c>
      <x:c r="C44" s="25" t="str">
        <x:v>Battery</x:v>
      </x:c>
      <x:c r="D44" s="25" t="str">
        <x:v>battery_chemistry</x:v>
      </x:c>
      <x:c r="E44" s="25" t="str">
        <x:v>enum</x:v>
      </x:c>
      <x:c r="F44" s="25" t="str">
        <x:v>lithium ion | lithium metal | nickel metal hydride | alkaline | other | none</x:v>
      </x:c>
      <x:c r="G44" s="25" t="str">
        <x:v>Lithium chemistries trigger UN 38.3 and hazardous-material transport controls; button/coin geometry triggers separate product rules.</x:v>
      </x:c>
      <x:c r="H44" s="25" t="str">
        <x:v>R-ELEC-012; R-ELEC-017</x:v>
      </x:c>
      <x:c r="I44" s="25" t="str">
        <x:v>P0</x:v>
      </x:c>
      <x:c r="J44" s="25" t="str">
        <x:v>VERIFIED</x:v>
      </x:c>
    </x:row>
    <x:row r="45" ht="48" customHeight="1">
      <x:c r="A45" s="25" t="str">
        <x:v>A-ELEC-012</x:v>
      </x:c>
      <x:c r="B45" s="25" t="str">
        <x:v>Small consumer electronics</x:v>
      </x:c>
      <x:c r="C45" s="25" t="str">
        <x:v>Battery</x:v>
      </x:c>
      <x:c r="D45" s="25" t="str">
        <x:v>lithium_battery_configuration</x:v>
      </x:c>
      <x:c r="E45" s="25" t="str">
        <x:v>enum</x:v>
      </x:c>
      <x:c r="F45" s="25" t="str">
        <x:v>contained in equipment | packed with equipment | battery alone | spare | none</x:v>
      </x:c>
      <x:c r="G45" s="25" t="str">
        <x:v>Packaging, marks, quantity limits, and carrier rules depend on configuration.</x:v>
      </x:c>
      <x:c r="H45" s="25" t="str">
        <x:v>R-ELEC-012</x:v>
      </x:c>
      <x:c r="I45" s="25" t="str">
        <x:v>P0</x:v>
      </x:c>
      <x:c r="J45" s="25" t="str">
        <x:v>VERIFIED</x:v>
      </x:c>
    </x:row>
    <x:row r="46" ht="48" customHeight="1">
      <x:c r="A46" s="25" t="str">
        <x:v>A-ELEC-013</x:v>
      </x:c>
      <x:c r="B46" s="25" t="str">
        <x:v>Small consumer electronics</x:v>
      </x:c>
      <x:c r="C46" s="25" t="str">
        <x:v>Battery</x:v>
      </x:c>
      <x:c r="D46" s="25" t="str">
        <x:v>lithium_ion_watt_hours</x:v>
      </x:c>
      <x:c r="E46" s="25" t="str">
        <x:v>number</x:v>
      </x:c>
      <x:c r="F46" s="25" t="str">
        <x:v>Wh</x:v>
      </x:c>
      <x:c r="G46" s="25" t="str">
        <x:v>Determines small-battery exceptions and required battery marking; 20 Wh cell and 100 Wh battery thresholds are central transport fields.</x:v>
      </x:c>
      <x:c r="H46" s="25" t="str">
        <x:v>R-ELEC-012</x:v>
      </x:c>
      <x:c r="I46" s="25" t="str">
        <x:v>P0</x:v>
      </x:c>
      <x:c r="J46" s="25" t="str">
        <x:v>VERIFIED</x:v>
      </x:c>
    </x:row>
    <x:row r="47" ht="48" customHeight="1">
      <x:c r="A47" s="25" t="str">
        <x:v>A-ELEC-014</x:v>
      </x:c>
      <x:c r="B47" s="25" t="str">
        <x:v>Small consumer electronics</x:v>
      </x:c>
      <x:c r="C47" s="25" t="str">
        <x:v>Battery</x:v>
      </x:c>
      <x:c r="D47" s="25" t="str">
        <x:v>lithium_metal_content_grams</x:v>
      </x:c>
      <x:c r="E47" s="25" t="str">
        <x:v>number</x:v>
      </x:c>
      <x:c r="F47" s="25" t="str">
        <x:v>grams</x:v>
      </x:c>
      <x:c r="G47" s="25" t="str">
        <x:v>Determines small lithium-metal cell/battery transport exceptions.</x:v>
      </x:c>
      <x:c r="H47" s="25" t="str">
        <x:v>R-ELEC-012</x:v>
      </x:c>
      <x:c r="I47" s="25" t="str">
        <x:v>P0</x:v>
      </x:c>
      <x:c r="J47" s="25" t="str">
        <x:v>VERIFIED</x:v>
      </x:c>
    </x:row>
    <x:row r="48" ht="48" customHeight="1">
      <x:c r="A48" s="25" t="str">
        <x:v>A-ELEC-015</x:v>
      </x:c>
      <x:c r="B48" s="25" t="str">
        <x:v>Small consumer electronics</x:v>
      </x:c>
      <x:c r="C48" s="25" t="str">
        <x:v>Battery</x:v>
      </x:c>
      <x:c r="D48" s="25" t="str">
        <x:v>un38_3_test_summary_available</x:v>
      </x:c>
      <x:c r="E48" s="25" t="str">
        <x:v>boolean</x:v>
      </x:c>
      <x:c r="F48" s="25" t="str">
        <x:v>yes | no | unknown</x:v>
      </x:c>
      <x:c r="G48" s="25" t="str">
        <x:v>Manufacturers and subsequent distributors generally must make a compliant UN 38.3 test summary available.</x:v>
      </x:c>
      <x:c r="H48" s="25" t="str">
        <x:v>R-ELEC-012; R-ELEC-015</x:v>
      </x:c>
      <x:c r="I48" s="25" t="str">
        <x:v>P0</x:v>
      </x:c>
      <x:c r="J48" s="25" t="str">
        <x:v>VERIFIED</x:v>
      </x:c>
    </x:row>
    <x:row r="49" ht="48" customHeight="1">
      <x:c r="A49" s="25" t="str">
        <x:v>A-ELEC-016</x:v>
      </x:c>
      <x:c r="B49" s="25" t="str">
        <x:v>Small consumer electronics</x:v>
      </x:c>
      <x:c r="C49" s="25" t="str">
        <x:v>Battery</x:v>
      </x:c>
      <x:c r="D49" s="25" t="str">
        <x:v>button_or_coin_cell</x:v>
      </x:c>
      <x:c r="E49" s="25" t="str">
        <x:v>boolean</x:v>
      </x:c>
      <x:c r="F49" s="25" t="str">
        <x:v>yes | no</x:v>
      </x:c>
      <x:c r="G49" s="25" t="str">
        <x:v>Non-toy products containing or designed to use button/coin cells trigger 16 CFR part 1263, except zinc-air cells.</x:v>
      </x:c>
      <x:c r="H49" s="25" t="str">
        <x:v>R-ELEC-017</x:v>
      </x:c>
      <x:c r="I49" s="25" t="str">
        <x:v>P0</x:v>
      </x:c>
      <x:c r="J49" s="25" t="str">
        <x:v>VERIFIED</x:v>
      </x:c>
    </x:row>
    <x:row r="50" ht="48" customHeight="1">
      <x:c r="A50" s="25" t="str">
        <x:v>A-ELEC-017</x:v>
      </x:c>
      <x:c r="B50" s="25" t="str">
        <x:v>Small consumer electronics</x:v>
      </x:c>
      <x:c r="C50" s="25" t="str">
        <x:v>Battery</x:v>
      </x:c>
      <x:c r="D50" s="25" t="str">
        <x:v>button_cell_geometry_and_chemistry</x:v>
      </x:c>
      <x:c r="E50" s="25" t="str">
        <x:v>structured text</x:v>
      </x:c>
      <x:c r="F50" s="25" t="str">
        <x:v>diameter, height, chemistry, model</x:v>
      </x:c>
      <x:c r="G50" s="25" t="str">
        <x:v>Determines part 1263 scope and zinc-air exclusion.</x:v>
      </x:c>
      <x:c r="H50" s="25" t="str">
        <x:v>R-ELEC-017</x:v>
      </x:c>
      <x:c r="I50" s="25" t="str">
        <x:v>P0</x:v>
      </x:c>
      <x:c r="J50" s="25" t="str">
        <x:v>VERIFIED</x:v>
      </x:c>
    </x:row>
    <x:row r="51" ht="48" customHeight="1">
      <x:c r="A51" s="25" t="str">
        <x:v>A-ELEC-018</x:v>
      </x:c>
      <x:c r="B51" s="25" t="str">
        <x:v>Small consumer electronics</x:v>
      </x:c>
      <x:c r="C51" s="25" t="str">
        <x:v>Power</x:v>
      </x:c>
      <x:c r="D51" s="25" t="str">
        <x:v>external_power_supply_included_or_sold</x:v>
      </x:c>
      <x:c r="E51" s="25" t="str">
        <x:v>boolean</x:v>
      </x:c>
      <x:c r="F51" s="25" t="str">
        <x:v>yes | no</x:v>
      </x:c>
      <x:c r="G51" s="25" t="str">
        <x:v>Covered external power supplies trigger DOE efficiency testing, certification, and Level VI marking unless an exception applies.</x:v>
      </x:c>
      <x:c r="H51" s="25" t="str">
        <x:v>R-ELEC-010</x:v>
      </x:c>
      <x:c r="I51" s="25" t="str">
        <x:v>P0</x:v>
      </x:c>
      <x:c r="J51" s="25" t="str">
        <x:v>VERIFIED</x:v>
      </x:c>
    </x:row>
    <x:row r="52" ht="48" customHeight="1">
      <x:c r="A52" s="25" t="str">
        <x:v>A-ELEC-019</x:v>
      </x:c>
      <x:c r="B52" s="25" t="str">
        <x:v>Small consumer electronics</x:v>
      </x:c>
      <x:c r="C52" s="25" t="str">
        <x:v>Power</x:v>
      </x:c>
      <x:c r="D52" s="25" t="str">
        <x:v>battery_charger_function</x:v>
      </x:c>
      <x:c r="E52" s="25" t="str">
        <x:v>boolean</x:v>
      </x:c>
      <x:c r="F52" s="25" t="str">
        <x:v>yes | no</x:v>
      </x:c>
      <x:c r="G52" s="25" t="str">
        <x:v>Covered battery chargers trigger DOE unit-energy-consumption testing and certification unless excluded.</x:v>
      </x:c>
      <x:c r="H52" s="25" t="str">
        <x:v>R-ELEC-011</x:v>
      </x:c>
      <x:c r="I52" s="25" t="str">
        <x:v>P0</x:v>
      </x:c>
      <x:c r="J52" s="25" t="str">
        <x:v>VERIFIED</x:v>
      </x:c>
    </x:row>
    <x:row r="53" ht="48" customHeight="1">
      <x:c r="A53" s="25" t="str">
        <x:v>A-ELEC-020</x:v>
      </x:c>
      <x:c r="B53" s="25" t="str">
        <x:v>Small consumer electronics</x:v>
      </x:c>
      <x:c r="C53" s="25" t="str">
        <x:v>Power</x:v>
      </x:c>
      <x:c r="D53" s="25" t="str">
        <x:v>mains_connection_and_rating</x:v>
      </x:c>
      <x:c r="E53" s="25" t="str">
        <x:v>structured text</x:v>
      </x:c>
      <x:c r="F53" s="25" t="str">
        <x:v>input voltage/frequency/current; plug; class</x:v>
      </x:c>
      <x:c r="G53" s="25" t="str">
        <x:v>Routes electrical-shock/fire testing and product-specific safety standards; no universal federal UL listing rule was verified for this category.</x:v>
      </x:c>
      <x:c r="H53" s="25" t="str">
        <x:v>R-ELEC-010; R-ELEC-018</x:v>
      </x:c>
      <x:c r="I53" s="25" t="str">
        <x:v>P0</x:v>
      </x:c>
      <x:c r="J53" s="25" t="str">
        <x:v>VERIFIED</x:v>
      </x:c>
    </x:row>
    <x:row r="54" ht="48" customHeight="1">
      <x:c r="A54" s="26" t="str">
        <x:v>A-ELEC-021</x:v>
      </x:c>
      <x:c r="B54" s="26" t="str">
        <x:v>Small consumer electronics</x:v>
      </x:c>
      <x:c r="C54" s="26" t="str">
        <x:v>Supply chain</x:v>
      </x:c>
      <x:c r="D54" s="26" t="str">
        <x:v>fcc_covered_list_screen</x:v>
      </x:c>
      <x:c r="E54" s="26" t="str">
        <x:v>enum</x:v>
      </x:c>
      <x:c r="F54" s="26" t="str">
        <x:v>clear | match | uncertain</x:v>
      </x:c>
      <x:c r="G54" s="26" t="str">
        <x:v>FCC authorization is prohibited for covered equipment; applicant and supply-chain screening is required for certification workflows.</x:v>
      </x:c>
      <x:c r="H54" s="26" t="str">
        <x:v>R-ELEC-013</x:v>
      </x:c>
      <x:c r="I54" s="26" t="str">
        <x:v>P1</x:v>
      </x:c>
      <x:c r="J54" s="26" t="str">
        <x:v>VERIFIED</x:v>
      </x:c>
    </x:row>
  </x:sheetData>
  <x:conditionalFormatting sqref="J6:J54">
    <x:cfRule type="containsText" dxfId="0" priority="1" operator="containsText" text="VERIFIED"/>
    <x:cfRule type="containsText" dxfId="1" priority="2" operator="containsText" text="UNVERIFIED"/>
    <x:cfRule type="containsText" dxfId="2" priority="3" operator="containsText" text="CONFLICT"/>
    <x:cfRule type="containsText" dxfId="3" priority="4" operator="containsText" text="NOT FOUND"/>
  </x:conditionalFormatting>
  <x:dataValidations count="1">
    <x:dataValidation type="list" sqref="J6:J54">
      <x:formula1>"VERIFIED,UNVERIFIED,CONFLICT,NOT FOUND"</x:formula1>
    </x:dataValidation>
  </x:dataValidations>
  <x:pageMargins left="0.7" right="0.7" top="0.75" bottom="0.75" header="0.3" footer="0.3"/>
  <x:tableParts count="1">
    <x:tablePart xmlns:r="http://schemas.openxmlformats.org/officeDocument/2006/relationships" r:id="R226cdfe6ceab4129"/>
  </x:tableParts>
</x:worksheet>
</file>

<file path=xl/worksheets/sheet3.xml><?xml version="1.0" encoding="utf-8"?>
<x:worksheet xmlns:x="http://schemas.openxmlformats.org/spreadsheetml/2006/main">
  <x:sheetPr>
    <x:tabColor rgb="FF17324D"/>
  </x:sheetPr>
  <x:sheetViews>
    <x:sheetView showGridLines="0" workbookViewId="0">
      <x:pane xSplit="3" ySplit="5" topLeftCell="D6" activePane="bottomRight" state="frozen"/>
    </x:sheetView>
  </x:sheetViews>
  <x:sheetFormatPr defaultRowHeight="15"/>
  <x:cols>
    <x:col min="1" max="1" width="14" hidden="0" customWidth="1"/>
    <x:col min="2" max="2" width="21" hidden="0" customWidth="1"/>
    <x:col min="3" max="3" width="34" hidden="0" customWidth="1"/>
    <x:col min="4" max="4" width="25" hidden="0" customWidth="1"/>
    <x:col min="5" max="5" width="58" hidden="0" customWidth="1"/>
    <x:col min="6" max="6" width="17" hidden="0" customWidth="1"/>
    <x:col min="7" max="7" width="24" hidden="0" customWidth="1"/>
    <x:col min="8" max="8" width="48" hidden="0" customWidth="1"/>
    <x:col min="9" max="9" width="45" hidden="0" customWidth="1"/>
    <x:col min="10" max="10" width="50" hidden="0" customWidth="1"/>
    <x:col min="11" max="11" width="48" hidden="0" customWidth="1"/>
    <x:col min="12" max="12" width="38" hidden="0" customWidth="1"/>
    <x:col min="13" max="13" width="22" hidden="0" customWidth="1"/>
    <x:col min="14" max="14" width="22" hidden="0" customWidth="1"/>
    <x:col min="15" max="15" width="18" hidden="0" customWidth="1"/>
    <x:col min="16" max="16" width="12" hidden="0" customWidth="1"/>
    <x:col min="17" max="17" width="45" hidden="0" customWidth="1"/>
  </x:cols>
  <x:sheetData>
    <x:row r="2">
      <x:c r="A2" s="1" t="str">
        <x:v>Compliance rule matrix</x:v>
      </x:c>
    </x:row>
    <x:row r="3">
      <x:c r="A3" s="2" t="str">
        <x:v>Applicability is conditional. Filter trigger_conditions before treating any requirement as applicable.</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rule_id</x:v>
      </x:c>
      <x:c r="B5" s="20" t="str">
        <x:v>category</x:v>
      </x:c>
      <x:c r="C5" s="20" t="str">
        <x:v>requirement</x:v>
      </x:c>
      <x:c r="D5" s="20" t="str">
        <x:v>requirement_type</x:v>
      </x:c>
      <x:c r="E5" s="20" t="str">
        <x:v>trigger_conditions</x:v>
      </x:c>
      <x:c r="F5" s="20" t="str">
        <x:v>jurisdiction</x:v>
      </x:c>
      <x:c r="G5" s="20" t="str">
        <x:v>authority</x:v>
      </x:c>
      <x:c r="H5" s="20" t="str">
        <x:v>required_tests</x:v>
      </x:c>
      <x:c r="I5" s="20" t="str">
        <x:v>required_certificates_documents</x:v>
      </x:c>
      <x:c r="J5" s="20" t="str">
        <x:v>seller_importer_actions</x:v>
      </x:c>
      <x:c r="K5" s="20" t="str">
        <x:v>labeling_manual_requirements</x:v>
      </x:c>
      <x:c r="L5" s="20" t="str">
        <x:v>risk_if_missing</x:v>
      </x:c>
      <x:c r="M5" s="20" t="str">
        <x:v>effective_update_date</x:v>
      </x:c>
      <x:c r="N5" s="20" t="str">
        <x:v>source_ids</x:v>
      </x:c>
      <x:c r="O5" s="20" t="str">
        <x:v>verification_status</x:v>
      </x:c>
      <x:c r="P5" s="20" t="str">
        <x:v>mvp_priority</x:v>
      </x:c>
      <x:c r="Q5" s="20" t="str">
        <x:v>applicability_notes</x:v>
      </x:c>
    </x:row>
    <x:row r="6" ht="74" customHeight="1">
      <x:c r="A6" s="24" t="str">
        <x:v>R-CMN-001</x:v>
      </x:c>
      <x:c r="B6" s="24" t="str">
        <x:v>Both</x:v>
      </x:c>
      <x:c r="C6" s="24" t="str">
        <x:v>Country-of-origin marking</x:v>
      </x:c>
      <x:c r="D6" s="24" t="str">
        <x:v>Federal regulation</x:v>
      </x:c>
      <x:c r="E6" s="24" t="str">
        <x:v>Foreign-origin article imported into the United States unless a specific exception applies.</x:v>
      </x:c>
      <x:c r="F6" s="24" t="str">
        <x:v>USA</x:v>
      </x:c>
      <x:c r="G6" s="24" t="str">
        <x:v>U.S. Customs and Border Protection</x:v>
      </x:c>
      <x:c r="H6" s="24" t="str">
        <x:v>No laboratory test; origin determination and marking review.</x:v>
      </x:c>
      <x:c r="I6" s="24" t="str">
        <x:v>Origin records; entry documents as applicable.</x:v>
      </x:c>
      <x:c r="J6" s="24" t="str">
        <x:v>Mark the article or, where allowed, its container conspicuously, legibly, indelibly, and permanently with the English country name for the ultimate purchaser.</x:v>
      </x:c>
      <x:c r="K6" s="24" t="str">
        <x:v>Country name on article/container.</x:v>
      </x:c>
      <x:c r="L6" s="24" t="str">
        <x:v>Import delay, marking duties, redelivery, or refusal/penalty exposure.</x:v>
      </x:c>
      <x:c r="M6" s="24" t="str">
        <x:v>Current eCFR checked 2026-09-09</x:v>
      </x:c>
      <x:c r="N6" s="24" t="str">
        <x:v>S029</x:v>
      </x:c>
      <x:c r="O6" s="24" t="str">
        <x:v>VERIFIED</x:v>
      </x:c>
      <x:c r="P6" s="24" t="str">
        <x:v>P0</x:v>
      </x:c>
      <x:c r="Q6" s="24" t="str">
        <x:v>This is an import rule, not a product-safety test.</x:v>
      </x:c>
    </x:row>
    <x:row r="7" ht="74" customHeight="1">
      <x:c r="A7" s="25" t="str">
        <x:v>R-CMN-002</x:v>
      </x:c>
      <x:c r="B7" s="25" t="str">
        <x:v>Both</x:v>
      </x:c>
      <x:c r="C7" s="25" t="str">
        <x:v>California Proposition 65 exposure warning screen</x:v>
      </x:c>
      <x:c r="D7" s="25" t="str">
        <x:v>State requirement</x:v>
      </x:c>
      <x:c r="E7" s="25" t="str">
        <x:v>Product is sold into California and the business knowingly and intentionally causes exposure to a listed chemical above the applicable safe-harbor or risk threshold; businesses with fewer than 10 employees are generally exempt.</x:v>
      </x:c>
      <x:c r="F7" s="25" t="str">
        <x:v>California</x:v>
      </x:c>
      <x:c r="G7" s="25" t="str">
        <x:v>California OEHHA</x:v>
      </x:c>
      <x:c r="H7" s="25" t="str">
        <x:v>Exposure assessment or chemical testing as needed; a chemical's presence alone does not prove a warning is required.</x:v>
      </x:c>
      <x:c r="I7" s="25" t="str">
        <x:v>Supplier declarations, test/exposure assessment, warning decision record.</x:v>
      </x:c>
      <x:c r="J7" s="25" t="str">
        <x:v>Determine exposure; provide a clear and reasonable warning if required; monitor chemical list and safe-harbor levels.</x:v>
      </x:c>
      <x:c r="K7" s="25" t="str">
        <x:v>Consumer product/online warning format if used; short-form warning rules changed effective 2025 with a three-year transition.</x:v>
      </x:c>
      <x:c r="L7" s="25" t="str">
        <x:v>Private enforcement, civil penalties, listing disruption, or unnecessary-warning risk.</x:v>
      </x:c>
      <x:c r="M7" s="25" t="str">
        <x:v>Warning amendments effective 2025-01-01</x:v>
      </x:c>
      <x:c r="N7" s="25" t="str">
        <x:v>S035; S036</x:v>
      </x:c>
      <x:c r="O7" s="25" t="str">
        <x:v>VERIFIED</x:v>
      </x:c>
      <x:c r="P7" s="25" t="str">
        <x:v>P0</x:v>
      </x:c>
      <x:c r="Q7" s="25" t="str">
        <x:v>State overlay. Do not auto-trigger a warning from material presence alone.</x:v>
      </x:c>
    </x:row>
    <x:row r="8" ht="74" customHeight="1">
      <x:c r="A8" s="25" t="str">
        <x:v>R-TOY-001</x:v>
      </x:c>
      <x:c r="B8" s="25" t="str">
        <x:v>Children's toys</x:v>
      </x:c>
      <x:c r="C8" s="25" t="str">
        <x:v>Toy and children's-product classification</x:v>
      </x:c>
      <x:c r="D8" s="25" t="str">
        <x:v>Federal regulation</x:v>
      </x:c>
      <x:c r="E8" s="25" t="str">
        <x:v>Product is designed, made, or marketed as a plaything for children under 14; CPSC children's-product duties apply when intended primarily for children 12 or younger under the four-factor test.</x:v>
      </x:c>
      <x:c r="F8" s="25" t="str">
        <x:v>USA</x:v>
      </x:c>
      <x:c r="G8" s="25" t="str">
        <x:v>CPSC</x:v>
      </x:c>
      <x:c r="H8" s="25" t="str">
        <x:v>Age-determination/classification review.</x:v>
      </x:c>
      <x:c r="I8" s="25" t="str">
        <x:v>Age grading rationale; product, packaging, advertising, and market evidence.</x:v>
      </x:c>
      <x:c r="J8" s="25" t="str">
        <x:v>Assign age range and classification using all factors; do not rely on a label alone; route child-targeted electronics into CPSC rules.</x:v>
      </x:c>
      <x:c r="K8" s="25" t="str">
        <x:v>Age grading and warnings as required by downstream rules.</x:v>
      </x:c>
      <x:c r="L8" s="25" t="str">
        <x:v>Incorrect routing can omit mandatory tests and certificates or over-apply children's rules.</x:v>
      </x:c>
      <x:c r="M8" s="25" t="str">
        <x:v>Current guidance checked 2026-09-09</x:v>
      </x:c>
      <x:c r="N8" s="25" t="str">
        <x:v>S001; S006</x:v>
      </x:c>
      <x:c r="O8" s="25" t="str">
        <x:v>VERIFIED</x:v>
      </x:c>
      <x:c r="P8" s="25" t="str">
        <x:v>P0</x:v>
      </x:c>
      <x:c r="Q8" s="25" t="str">
        <x:v>ASTM F963 scope and CPC/third-party testing scope are not identical.</x:v>
      </x:c>
    </x:row>
    <x:row r="9" ht="74" customHeight="1">
      <x:c r="A9" s="25" t="str">
        <x:v>R-TOY-002</x:v>
      </x:c>
      <x:c r="B9" s="25" t="str">
        <x:v>Children's toys</x:v>
      </x:c>
      <x:c r="C9" s="25" t="str">
        <x:v>ASTM F963-23 applicable toy provisions</x:v>
      </x:c>
      <x:c r="D9" s="25" t="str">
        <x:v>Federal regulation adopting industry standard</x:v>
      </x:c>
      <x:c r="E9" s="25" t="str">
        <x:v>Finished product is a toy within 16 CFR part 1250; only provisions applicable to the toy's age, features, materials, and hazards apply.</x:v>
      </x:c>
      <x:c r="F9" s="25" t="str">
        <x:v>USA</x:v>
      </x:c>
      <x:c r="G9" s="25" t="str">
        <x:v>CPSC</x:v>
      </x:c>
      <x:c r="H9" s="25" t="str">
        <x:v>Applicable ASTM F963-23 sections, such as mechanical/use-and-abuse, accessible edges/points, small objects, coatings/substrates, and feature-specific tests.</x:v>
      </x:c>
      <x:c r="I9" s="25" t="str">
        <x:v>CPSC-accepted laboratory report for third-party sections; applicability checklist.</x:v>
      </x:c>
      <x:c r="J9" s="25" t="str">
        <x:v>Identify specific applicable sections; test those sections; cite exact section numbers in reports and CPC.</x:v>
      </x:c>
      <x:c r="K9" s="25" t="str">
        <x:v>ASTM/CPSC warnings, markings, and instructions where the applicable section requires them.</x:v>
      </x:c>
      <x:c r="L9" s="25" t="str">
        <x:v>Stop sale, recall, import detention, platform suppression, and CPC invalidity.</x:v>
      </x:c>
      <x:c r="M9" s="25" t="str">
        <x:v>ASTM F963-23 effective 2024-04-20; part 1250 updated in 2026</x:v>
      </x:c>
      <x:c r="N9" s="25" t="str">
        <x:v>S002; S003; S018</x:v>
      </x:c>
      <x:c r="O9" s="25" t="str">
        <x:v>VERIFIED</x:v>
      </x:c>
      <x:c r="P9" s="25" t="str">
        <x:v>P0</x:v>
      </x:c>
      <x:c r="Q9" s="25" t="str">
        <x:v>Section 4.2 flammability and restatements of other CPSC/FDA rules are excluded from the incorporation and handled under their own authority.</x:v>
      </x:c>
    </x:row>
    <x:row r="10" ht="74" customHeight="1">
      <x:c r="A10" s="25" t="str">
        <x:v>R-TOY-003</x:v>
      </x:c>
      <x:c r="B10" s="25" t="str">
        <x:v>Children's toys</x:v>
      </x:c>
      <x:c r="C10" s="25" t="str">
        <x:v>CPSC-accepted third-party testing and Children's Product Certificate</x:v>
      </x:c>
      <x:c r="D10" s="25" t="str">
        <x:v>Federal regulation</x:v>
      </x:c>
      <x:c r="E10" s="25" t="str">
        <x:v>Toy is a children's product subject to one or more children's product safety rules; no valid testing determination removes the test for a component/rule.</x:v>
      </x:c>
      <x:c r="F10" s="25" t="str">
        <x:v>USA</x:v>
      </x:c>
      <x:c r="G10" s="25" t="str">
        <x:v>CPSC</x:v>
      </x:c>
      <x:c r="H10" s="25" t="str">
        <x:v>Sufficient samples tested by a CPSC-accepted third-party laboratory for each applicable children's product safety rule.</x:v>
      </x:c>
      <x:c r="I10" s="25" t="str">
        <x:v>CPC in English; underlying test reports; records; seven required CPC data elements.</x:v>
      </x:c>
      <x:c r="J10" s="25" t="str">
        <x:v>Domestic manufacturer or importer issues and furnishes CPC; maintain and provide reports/certificate; cite each applicable rule and any testing determination or exception.</x:v>
      </x:c>
      <x:c r="K10" s="25" t="str">
        <x:v>Certificate itself; no universal CPC label format.</x:v>
      </x:c>
      <x:c r="L10" s="25" t="str">
        <x:v>Import refusal, stop sale, recall, civil enforcement, and platform document failure.</x:v>
      </x:c>
      <x:c r="M10" s="25" t="str">
        <x:v>Current guidance checked 2026-09-09</x:v>
      </x:c>
      <x:c r="N10" s="25" t="str">
        <x:v>S004; S005</x:v>
      </x:c>
      <x:c r="O10" s="25" t="str">
        <x:v>VERIFIED</x:v>
      </x:c>
      <x:c r="P10" s="25" t="str">
        <x:v>P0</x:v>
      </x:c>
      <x:c r="Q10" s="25" t="str">
        <x:v>Testing relief does not necessarily remove the duty to comply or issue a CPC.</x:v>
      </x:c>
    </x:row>
    <x:row r="11" ht="74" customHeight="1">
      <x:c r="A11" s="25" t="str">
        <x:v>R-TOY-004</x:v>
      </x:c>
      <x:c r="B11" s="25" t="str">
        <x:v>Children's toys</x:v>
      </x:c>
      <x:c r="C11" s="25" t="str">
        <x:v>Total lead in accessible component parts</x:v>
      </x:c>
      <x:c r="D11" s="25" t="str">
        <x:v>Federal regulation</x:v>
      </x:c>
      <x:c r="E11" s="25" t="str">
        <x:v>Accessible component of a children's product; no material determination or statutory exception applies.</x:v>
      </x:c>
      <x:c r="F11" s="25" t="str">
        <x:v>USA</x:v>
      </x:c>
      <x:c r="G11" s="25" t="str">
        <x:v>CPSC</x:v>
      </x:c>
      <x:c r="H11" s="25" t="str">
        <x:v>CPSC-recognized lead method appropriate to metal or nonmetal component; component-part testing allowed.</x:v>
      </x:c>
      <x:c r="I11" s="25" t="str">
        <x:v>Lab report or valid component certificate; CPC citation.</x:v>
      </x:c>
      <x:c r="J11" s="25" t="str">
        <x:v>Ensure accessible components do not exceed 100 ppm; document any determinations and supplier reliance.</x:v>
      </x:c>
      <x:c r="K11" s="25" t="str">
        <x:v>None specific beyond CPC/tracking/other applicable labels.</x:v>
      </x:c>
      <x:c r="L11" s="25" t="str">
        <x:v>Banned product, recall, import or platform action.</x:v>
      </x:c>
      <x:c r="M11" s="25" t="str">
        <x:v>100 ppm limit current; guidance checked 2026-09-09</x:v>
      </x:c>
      <x:c r="N11" s="25" t="str">
        <x:v>S007; S005</x:v>
      </x:c>
      <x:c r="O11" s="25" t="str">
        <x:v>VERIFIED</x:v>
      </x:c>
      <x:c r="P11" s="25" t="str">
        <x:v>P0</x:v>
      </x:c>
      <x:c r="Q11" s="25" t="str">
        <x:v>Untreated natural materials and specified unfinished engineered wood may not require third-party testing, but must still comply.</x:v>
      </x:c>
    </x:row>
    <x:row r="12" ht="74" customHeight="1">
      <x:c r="A12" s="25" t="str">
        <x:v>R-TOY-005</x:v>
      </x:c>
      <x:c r="B12" s="25" t="str">
        <x:v>Children's toys</x:v>
      </x:c>
      <x:c r="C12" s="25" t="str">
        <x:v>Lead in paint and similar surface coatings</x:v>
      </x:c>
      <x:c r="D12" s="25" t="str">
        <x:v>Federal regulation</x:v>
      </x:c>
      <x:c r="E12" s="25" t="str">
        <x:v>Toy or children's product bears paint or a similar surface coating; exclusions such as certain printing inks, electroplating, and ceramic glaze must be assessed.</x:v>
      </x:c>
      <x:c r="F12" s="25" t="str">
        <x:v>USA</x:v>
      </x:c>
      <x:c r="G12" s="25" t="str">
        <x:v>CPSC</x:v>
      </x:c>
      <x:c r="H12" s="25" t="str">
        <x:v>CPSC lead-in-paint method or accepted alternative for each homogeneous coating as applicable.</x:v>
      </x:c>
      <x:c r="I12" s="25" t="str">
        <x:v>Lab report; CPC citation.</x:v>
      </x:c>
      <x:c r="J12" s="25" t="str">
        <x:v>Ensure coating lead is below 0.009 percent (90 ppm); define homogeneous coating samples.</x:v>
      </x:c>
      <x:c r="K12" s="25" t="str">
        <x:v>None specific beyond downstream labels.</x:v>
      </x:c>
      <x:c r="L12" s="25" t="str">
        <x:v>Banned product, recall, import or platform action.</x:v>
      </x:c>
      <x:c r="M12" s="25" t="str">
        <x:v>90 ppm limit current; guidance checked 2026-09-09</x:v>
      </x:c>
      <x:c r="N12" s="25" t="str">
        <x:v>S008; S005</x:v>
      </x:c>
      <x:c r="O12" s="25" t="str">
        <x:v>VERIFIED</x:v>
      </x:c>
      <x:c r="P12" s="25" t="str">
        <x:v>P0</x:v>
      </x:c>
      <x:c r="Q12" s="25" t="str">
        <x:v>Do not treat all colorants or inks as surface coatings without classification.</x:v>
      </x:c>
    </x:row>
    <x:row r="13" ht="74" customHeight="1">
      <x:c r="A13" s="25" t="str">
        <x:v>R-TOY-006</x:v>
      </x:c>
      <x:c r="B13" s="25" t="str">
        <x:v>Children's toys</x:v>
      </x:c>
      <x:c r="C13" s="25" t="str">
        <x:v>Specified phthalates in accessible plasticized components</x:v>
      </x:c>
      <x:c r="D13" s="25" t="str">
        <x:v>Federal regulation</x:v>
      </x:c>
      <x:c r="E13" s="25" t="str">
        <x:v>Children's toy for age 12 or younger or child-care article with accessible plasticized components; material determinations may remove third-party testing for specified materials.</x:v>
      </x:c>
      <x:c r="F13" s="25" t="str">
        <x:v>USA</x:v>
      </x:c>
      <x:c r="G13" s="25" t="str">
        <x:v>CPSC</x:v>
      </x:c>
      <x:c r="H13" s="25" t="str">
        <x:v>CPSC phthalates method on accessible plasticized component parts.</x:v>
      </x:c>
      <x:c r="I13" s="25" t="str">
        <x:v>Lab report or valid component documentation; CPC citation.</x:v>
      </x:c>
      <x:c r="J13" s="25" t="str">
        <x:v>Ensure each of DEHP, DBP, BBP, DINP, DIBP, DPENP, DHEXP, and DCHP is at or below 0.1 percent (1,000 ppm).</x:v>
      </x:c>
      <x:c r="K13" s="25" t="str">
        <x:v>None specific beyond CPC.</x:v>
      </x:c>
      <x:c r="L13" s="25" t="str">
        <x:v>Banned product, recall, import or platform action.</x:v>
      </x:c>
      <x:c r="M13" s="25" t="str">
        <x:v>Current rule/guidance checked 2026-09-09</x:v>
      </x:c>
      <x:c r="N13" s="25" t="str">
        <x:v>S009; S005</x:v>
      </x:c>
      <x:c r="O13" s="25" t="str">
        <x:v>VERIFIED</x:v>
      </x:c>
      <x:c r="P13" s="25" t="str">
        <x:v>P0</x:v>
      </x:c>
      <x:c r="Q13" s="25" t="str">
        <x:v>Material determinations concern testing; they are not permission to exceed the limits.</x:v>
      </x:c>
    </x:row>
    <x:row r="14" ht="74" customHeight="1">
      <x:c r="A14" s="25" t="str">
        <x:v>R-TOY-007</x:v>
      </x:c>
      <x:c r="B14" s="25" t="str">
        <x:v>Children's toys</x:v>
      </x:c>
      <x:c r="C14" s="25" t="str">
        <x:v>Small-parts ban for children under three</x:v>
      </x:c>
      <x:c r="D14" s="25" t="str">
        <x:v>Federal regulation</x:v>
      </x:c>
      <x:c r="E14" s="25" t="str">
        <x:v>Toy/article is intended for children under three and contains a small part as received or after applicable use-and-abuse testing, unless an exclusion applies.</x:v>
      </x:c>
      <x:c r="F14" s="25" t="str">
        <x:v>USA</x:v>
      </x:c>
      <x:c r="G14" s="25" t="str">
        <x:v>CPSC</x:v>
      </x:c>
      <x:c r="H14" s="25" t="str">
        <x:v>16 CFR part 1501 small-parts cylinder after applicable 16 CFR 1500 use-and-abuse tests.</x:v>
      </x:c>
      <x:c r="I14" s="25" t="str">
        <x:v>CPSC-accepted lab report; CPC citation.</x:v>
      </x:c>
      <x:c r="J14" s="25" t="str">
        <x:v>Redesign, age-classify, or remove product if a prohibited small part is present; do not use a warning as a substitute for the ban.</x:v>
      </x:c>
      <x:c r="K14" s="25" t="str">
        <x:v>No warning cures a banned under-three small part.</x:v>
      </x:c>
      <x:c r="L14" s="25" t="str">
        <x:v>Banned hazardous substance; choking injury, recall, detention, platform removal.</x:v>
      </x:c>
      <x:c r="M14" s="25" t="str">
        <x:v>Current guidance checked 2026-09-09</x:v>
      </x:c>
      <x:c r="N14" s="25" t="str">
        <x:v>S010; S005</x:v>
      </x:c>
      <x:c r="O14" s="25" t="str">
        <x:v>VERIFIED</x:v>
      </x:c>
      <x:c r="P14" s="25" t="str">
        <x:v>P0</x:v>
      </x:c>
      <x:c r="Q14" s="25" t="str">
        <x:v>Applicability depends on intended use and specific exclusions.</x:v>
      </x:c>
    </x:row>
    <x:row r="15" ht="74" customHeight="1">
      <x:c r="A15" s="25" t="str">
        <x:v>R-TOY-008</x:v>
      </x:c>
      <x:c r="B15" s="25" t="str">
        <x:v>Children's toys</x:v>
      </x:c>
      <x:c r="C15" s="25" t="str">
        <x:v>Choking-hazard warning for certain toys ages three through five</x:v>
      </x:c>
      <x:c r="D15" s="25" t="str">
        <x:v>Federal regulation</x:v>
      </x:c>
      <x:c r="E15" s="25" t="str">
        <x:v>Specified toy/game for children at least three but under six contains a small part, small ball, marble, or balloon within 16 CFR 1500.19 scope.</x:v>
      </x:c>
      <x:c r="F15" s="25" t="str">
        <x:v>USA</x:v>
      </x:c>
      <x:c r="G15" s="25" t="str">
        <x:v>CPSC</x:v>
      </x:c>
      <x:c r="H15" s="25" t="str">
        <x:v>Small-parts/feature assessment; warning-format review.</x:v>
      </x:c>
      <x:c r="I15" s="25" t="str">
        <x:v>Test/assessment record; listing and packaging artwork.</x:v>
      </x:c>
      <x:c r="J15" s="25" t="str">
        <x:v>Apply required choking warning to packaging and certain catalogs/internet advertisements; keep separate from CPC citations where the warning rule is not a children's product safety rule.</x:v>
      </x:c>
      <x:c r="K15" s="25" t="str">
        <x:v>Specific warning text, size, placement, and advertising disclosure under 16 CFR 1500.19/.20.</x:v>
      </x:c>
      <x:c r="L15" s="25" t="str">
        <x:v>Misbranding, sale restriction, platform suppression, choking risk.</x:v>
      </x:c>
      <x:c r="M15" s="25" t="str">
        <x:v>Current guidance checked 2026-09-09</x:v>
      </x:c>
      <x:c r="N15" s="25" t="str">
        <x:v>S010</x:v>
      </x:c>
      <x:c r="O15" s="25" t="str">
        <x:v>VERIFIED</x:v>
      </x:c>
      <x:c r="P15" s="25" t="str">
        <x:v>P0</x:v>
      </x:c>
      <x:c r="Q15" s="25" t="str">
        <x:v>Age range and product form determine the exact warning.</x:v>
      </x:c>
    </x:row>
    <x:row r="16" ht="74" customHeight="1">
      <x:c r="A16" s="25" t="str">
        <x:v>R-TOY-009</x:v>
      </x:c>
      <x:c r="B16" s="25" t="str">
        <x:v>Children's toys</x:v>
      </x:c>
      <x:c r="C16" s="25" t="str">
        <x:v>Small balls, marbles, and balloons special rules</x:v>
      </x:c>
      <x:c r="D16" s="25" t="str">
        <x:v>Federal regulation</x:v>
      </x:c>
      <x:c r="E16" s="25" t="str">
        <x:v>Toy includes a small ball, marble, or latex balloon and falls within an age-specific ban or warning provision.</x:v>
      </x:c>
      <x:c r="F16" s="25" t="str">
        <x:v>USA</x:v>
      </x:c>
      <x:c r="G16" s="25" t="str">
        <x:v>CPSC</x:v>
      </x:c>
      <x:c r="H16" s="25" t="str">
        <x:v>Dimensional/product-form tests and age-intent review.</x:v>
      </x:c>
      <x:c r="I16" s="25" t="str">
        <x:v>Lab/assessment record; CPC citation where applicable.</x:v>
      </x:c>
      <x:c r="J16" s="25" t="str">
        <x:v>Apply the correct ban or warning path; capture the product form explicitly rather than treating it as a generic small part.</x:v>
      </x:c>
      <x:c r="K16" s="25" t="str">
        <x:v>Specific choking warnings where permitted.</x:v>
      </x:c>
      <x:c r="L16" s="25" t="str">
        <x:v>Banned or misbranded product, choking risk, recall.</x:v>
      </x:c>
      <x:c r="M16" s="25" t="str">
        <x:v>Current eCFR/guidance checked 2026-09-09</x:v>
      </x:c>
      <x:c r="N16" s="25" t="str">
        <x:v>S010; S051</x:v>
      </x:c>
      <x:c r="O16" s="25" t="str">
        <x:v>VERIFIED</x:v>
      </x:c>
      <x:c r="P16" s="25" t="str">
        <x:v>P1</x:v>
      </x:c>
      <x:c r="Q16" s="25" t="str">
        <x:v>Special rules can apply even when a generic small-parts flag is insufficient.</x:v>
      </x:c>
    </x:row>
    <x:row r="17" ht="74" customHeight="1">
      <x:c r="A17" s="25" t="str">
        <x:v>R-TOY-010</x:v>
      </x:c>
      <x:c r="B17" s="25" t="str">
        <x:v>Children's toys</x:v>
      </x:c>
      <x:c r="C17" s="25" t="str">
        <x:v>Magnet safety for toys</x:v>
      </x:c>
      <x:c r="D17" s="25" t="str">
        <x:v>Federal regulation adopting industry standard</x:v>
      </x:c>
      <x:c r="E17" s="25" t="str">
        <x:v>Toy contains magnets; especially small, loose, separable, or liberated magnets after use-and-abuse testing.</x:v>
      </x:c>
      <x:c r="F17" s="25" t="str">
        <x:v>USA</x:v>
      </x:c>
      <x:c r="G17" s="25" t="str">
        <x:v>CPSC</x:v>
      </x:c>
      <x:c r="H17" s="25" t="str">
        <x:v>ASTM F963-23 section 4.38 and applicable use-and-abuse, small-part, and flux-index tests.</x:v>
      </x:c>
      <x:c r="I17" s="25" t="str">
        <x:v>CPSC-accepted lab report; CPC citation to ASTM section 4.38.</x:v>
      </x:c>
      <x:c r="J17" s="25" t="str">
        <x:v>Assess all magnets and containment; the separate 16 CFR part 1262 magnet rule does not apply to toys compliant with part 1250.</x:v>
      </x:c>
      <x:c r="K17" s="25" t="str">
        <x:v>Applicable warnings/instructions under F963.</x:v>
      </x:c>
      <x:c r="L17" s="25" t="str">
        <x:v>Ingestion injury or death, recall, import/platform removal.</x:v>
      </x:c>
      <x:c r="M17" s="25" t="str">
        <x:v>Current rules checked 2026-09-09</x:v>
      </x:c>
      <x:c r="N17" s="25" t="str">
        <x:v>S005; S015</x:v>
      </x:c>
      <x:c r="O17" s="25" t="str">
        <x:v>VERIFIED</x:v>
      </x:c>
      <x:c r="P17" s="25" t="str">
        <x:v>P0</x:v>
      </x:c>
      <x:c r="Q17" s="25" t="str">
        <x:v>eBay may prohibit some swallowable child-appealing magnet items even if the federal toy path is documented.</x:v>
      </x:c>
    </x:row>
    <x:row r="18" ht="74" customHeight="1">
      <x:c r="A18" s="25" t="str">
        <x:v>R-TOY-011</x:v>
      </x:c>
      <x:c r="B18" s="25" t="str">
        <x:v>Children's toys</x:v>
      </x:c>
      <x:c r="C18" s="25" t="str">
        <x:v>Battery-operated toy requirements</x:v>
      </x:c>
      <x:c r="D18" s="25" t="str">
        <x:v>Federal regulation adopting industry standard</x:v>
      </x:c>
      <x:c r="E18" s="25" t="str">
        <x:v>Toy is battery operated, including toys using button/coin cells.</x:v>
      </x:c>
      <x:c r="F18" s="25" t="str">
        <x:v>USA</x:v>
      </x:c>
      <x:c r="G18" s="25" t="str">
        <x:v>CPSC</x:v>
      </x:c>
      <x:c r="H18" s="25" t="str">
        <x:v>ASTM F963-23 section 4.25 battery accessibility and applicable use-and-abuse tests.</x:v>
      </x:c>
      <x:c r="I18" s="25" t="str">
        <x:v>CPSC-accepted lab report; CPC citation to F963 4.25.</x:v>
      </x:c>
      <x:c r="J18" s="25" t="str">
        <x:v>Secure battery compartments and evaluate small-part batteries; follow tool/access conditions for replaceable batteries.</x:v>
      </x:c>
      <x:c r="K18" s="25" t="str">
        <x:v>Battery-related product, package, and instruction requirements in F963; retain-tool instruction if a custom tool is supplied.</x:v>
      </x:c>
      <x:c r="L18" s="25" t="str">
        <x:v>Ingestion, burn, fire, recall, stop sale, platform action.</x:v>
      </x:c>
      <x:c r="M18" s="25" t="str">
        <x:v>ASTM F963-23 effective 2024-04-20</x:v>
      </x:c>
      <x:c r="N18" s="25" t="str">
        <x:v>S005; S013; S018</x:v>
      </x:c>
      <x:c r="O18" s="25" t="str">
        <x:v>VERIFIED</x:v>
      </x:c>
      <x:c r="P18" s="25" t="str">
        <x:v>P0</x:v>
      </x:c>
      <x:c r="Q18" s="25" t="str">
        <x:v>Compliant toy products are exempt from the consumer-product performance rule in part 1263, but separate battery packaging can remain regulated.</x:v>
      </x:c>
    </x:row>
    <x:row r="19" ht="74" customHeight="1">
      <x:c r="A19" s="25" t="str">
        <x:v>R-TOY-012</x:v>
      </x:c>
      <x:c r="B19" s="25" t="str">
        <x:v>Children's toys</x:v>
      </x:c>
      <x:c r="C19" s="25" t="str">
        <x:v>Separately packaged button/coin cells included with toy</x:v>
      </x:c>
      <x:c r="D19" s="25" t="str">
        <x:v>Federal regulation</x:v>
      </x:c>
      <x:c r="E19" s="25" t="str">
        <x:v>Button/coin cell is packaged separately but included with or offered with the toy.</x:v>
      </x:c>
      <x:c r="F19" s="25" t="str">
        <x:v>USA</x:v>
      </x:c>
      <x:c r="G19" s="25" t="str">
        <x:v>CPSC</x:v>
      </x:c>
      <x:c r="H19" s="25" t="str">
        <x:v>Package review; special-packaging protocol under Poison Prevention Packaging Act as applicable; no CPSC third-party lab is required solely for special packaging.</x:v>
      </x:c>
      <x:c r="I19" s="25" t="str">
        <x:v>Battery test summary/specification; special-packaging evidence; part 1263 packaging-label evidence; CPC citation where bundled children's-product certification requires it.</x:v>
      </x:c>
      <x:c r="J19" s="25" t="str">
        <x:v>Use child-resistant, senior-friendly packaging where required; apply battery package warning; obtain supplier evidence.</x:v>
      </x:c>
      <x:c r="K19" s="25" t="str">
        <x:v>16 CFR 1263.4 battery-package warning; special-packaging information.</x:v>
      </x:c>
      <x:c r="L19" s="25" t="str">
        <x:v>Battery ingestion risk, stop sale, recall, platform action.</x:v>
      </x:c>
      <x:c r="M19" s="25" t="str">
        <x:v>Special packaging effective 2023-02-12; package labeling effective 2024-09-21</x:v>
      </x:c>
      <x:c r="N19" s="25" t="str">
        <x:v>S013; S014</x:v>
      </x:c>
      <x:c r="O19" s="25" t="str">
        <x:v>VERIFIED</x:v>
      </x:c>
      <x:c r="P19" s="25" t="str">
        <x:v>P0</x:v>
      </x:c>
      <x:c r="Q19" s="25" t="str">
        <x:v>Distinguish a cell installed in the toy from a cell supplied in separate packaging.</x:v>
      </x:c>
    </x:row>
    <x:row r="20" ht="74" customHeight="1">
      <x:c r="A20" s="25" t="str">
        <x:v>R-TOY-013</x:v>
      </x:c>
      <x:c r="B20" s="25" t="str">
        <x:v>Children's toys</x:v>
      </x:c>
      <x:c r="C20" s="25" t="str">
        <x:v>Electrically operated toys powered from household circuits</x:v>
      </x:c>
      <x:c r="D20" s="25" t="str">
        <x:v>Federal regulation</x:v>
      </x:c>
      <x:c r="E20" s="25" t="str">
        <x:v>Toy/article intended for children is intended to be powered from nominal 120 V branch circuits; circuits at 30 V rms or less, adult products, and video games are excluded from the definition.</x:v>
      </x:c>
      <x:c r="F20" s="25" t="str">
        <x:v>USA</x:v>
      </x:c>
      <x:c r="G20" s="25" t="str">
        <x:v>CPSC</x:v>
      </x:c>
      <x:c r="H20" s="25" t="str">
        <x:v>16 CFR part 1505 electrical, thermal, mechanical, and construction tests as applicable.</x:v>
      </x:c>
      <x:c r="I20" s="25" t="str">
        <x:v>CPSC-accepted lab report; CPC citation to part 1505.</x:v>
      </x:c>
      <x:c r="J20" s="25" t="str">
        <x:v>Meet construction/performance limits; provide adequate age-appropriate instructions.</x:v>
      </x:c>
      <x:c r="K20" s="25" t="str">
        <x:v>Electrical ratings, precautionary statements, manufacture date/code, and instructions on toy/package/manual.</x:v>
      </x:c>
      <x:c r="L20" s="25" t="str">
        <x:v>Electric shock, burn, fire, banned product, recall.</x:v>
      </x:c>
      <x:c r="M20" s="25" t="str">
        <x:v>Current eCFR checked 2026-09-09</x:v>
      </x:c>
      <x:c r="N20" s="25" t="str">
        <x:v>S012; S005</x:v>
      </x:c>
      <x:c r="O20" s="25" t="str">
        <x:v>VERIFIED</x:v>
      </x:c>
      <x:c r="P20" s="25" t="str">
        <x:v>P0</x:v>
      </x:c>
      <x:c r="Q20" s="25" t="str">
        <x:v>Battery-low-voltage toys may be outside part 1505 but still subject to ASTM F963 battery requirements.</x:v>
      </x:c>
    </x:row>
    <x:row r="21" ht="74" customHeight="1">
      <x:c r="A21" s="25" t="str">
        <x:v>R-TOY-014</x:v>
      </x:c>
      <x:c r="B21" s="25" t="str">
        <x:v>Children's toys</x:v>
      </x:c>
      <x:c r="C21" s="25" t="str">
        <x:v>Tracking labels</x:v>
      </x:c>
      <x:c r="D21" s="25" t="str">
        <x:v>Federal regulation</x:v>
      </x:c>
      <x:c r="E21" s="25" t="str">
        <x:v>All children's products, to the extent practicable.</x:v>
      </x:c>
      <x:c r="F21" s="25" t="str">
        <x:v>USA</x:v>
      </x:c>
      <x:c r="G21" s="25" t="str">
        <x:v>CPSC</x:v>
      </x:c>
      <x:c r="H21" s="25" t="str">
        <x:v>No laboratory test; traceability and permanence review.</x:v>
      </x:c>
      <x:c r="I21" s="25" t="str">
        <x:v>Production-lot traceability records.</x:v>
      </x:c>
      <x:c r="J21" s="25" t="str">
        <x:v>Manufacturer/importer/private labeler places permanent, distinguishing marks on product and packaging where practicable.</x:v>
      </x:c>
      <x:c r="K21" s="25" t="str">
        <x:v>Manufacturer/private labeler, production location/date, and cohort/batch/run information sufficient to trace source.</x:v>
      </x:c>
      <x:c r="L21" s="25" t="str">
        <x:v>Traceability failure, enforcement exposure, impaired recall, platform concern.</x:v>
      </x:c>
      <x:c r="M21" s="25" t="str">
        <x:v>Requirement effective 2009; guidance current 2026-09-09</x:v>
      </x:c>
      <x:c r="N21" s="25" t="str">
        <x:v>S011</x:v>
      </x:c>
      <x:c r="O21" s="25" t="str">
        <x:v>VERIFIED</x:v>
      </x:c>
      <x:c r="P21" s="25" t="str">
        <x:v>P0</x:v>
      </x:c>
      <x:c r="Q21" s="25" t="str">
        <x:v>Tracking labels are not themselves a rule to cite on the CPC.</x:v>
      </x:c>
    </x:row>
    <x:row r="22" ht="74" customHeight="1">
      <x:c r="A22" s="25" t="str">
        <x:v>R-TOY-015</x:v>
      </x:c>
      <x:c r="B22" s="25" t="str">
        <x:v>Children's toys</x:v>
      </x:c>
      <x:c r="C22" s="25" t="str">
        <x:v>Material-change testing and recertification</x:v>
      </x:c>
      <x:c r="D22" s="25" t="str">
        <x:v>Federal regulation</x:v>
      </x:c>
      <x:c r="E22" s="25" t="str">
        <x:v>Change in design, manufacturing process, component source, or factory could affect compliance.</x:v>
      </x:c>
      <x:c r="F22" s="25" t="str">
        <x:v>USA</x:v>
      </x:c>
      <x:c r="G22" s="25" t="str">
        <x:v>CPSC</x:v>
      </x:c>
      <x:c r="H22" s="25" t="str">
        <x:v>Retest affected rules/components using a CPSC-accepted lab; full retest may be required for a factory change.</x:v>
      </x:c>
      <x:c r="I22" s="25" t="str">
        <x:v>Updated test reports and new CPC.</x:v>
      </x:c>
      <x:c r="J22" s="25" t="str">
        <x:v>Assess every change before production; bound the affected requirements; issue a new CPC based on updated evidence.</x:v>
      </x:c>
      <x:c r="K22" s="25" t="str">
        <x:v>Update labels/manuals if change affects them.</x:v>
      </x:c>
      <x:c r="L22" s="25" t="str">
        <x:v>Stale certificate, noncompliant production, recall/import/platform action.</x:v>
      </x:c>
      <x:c r="M22" s="25" t="str">
        <x:v>Current guidance checked 2026-09-09</x:v>
      </x:c>
      <x:c r="N22" s="25" t="str">
        <x:v>S041</x:v>
      </x:c>
      <x:c r="O22" s="25" t="str">
        <x:v>VERIFIED</x:v>
      </x:c>
      <x:c r="P22" s="25" t="str">
        <x:v>P0</x:v>
      </x:c>
      <x:c r="Q22" s="25" t="str">
        <x:v>A purely administrative change may not trigger testing; document the rationale.</x:v>
      </x:c>
    </x:row>
    <x:row r="23" ht="74" customHeight="1">
      <x:c r="A23" s="25" t="str">
        <x:v>R-TOY-016</x:v>
      </x:c>
      <x:c r="B23" s="25" t="str">
        <x:v>Children's toys</x:v>
      </x:c>
      <x:c r="C23" s="25" t="str">
        <x:v>Periodic testing for continuous production</x:v>
      </x:c>
      <x:c r="D23" s="25" t="str">
        <x:v>Federal regulation</x:v>
      </x:c>
      <x:c r="E23" s="25" t="str">
        <x:v>Children's product remains in continuous production after initial certification.</x:v>
      </x:c>
      <x:c r="F23" s="25" t="str">
        <x:v>USA</x:v>
      </x:c>
      <x:c r="G23" s="25" t="str">
        <x:v>CPSC</x:v>
      </x:c>
      <x:c r="H23" s="25" t="str">
        <x:v>Periodic testing at intervals set by the manufacturer's testing plan; production testing plan may alter interval within 16 CFR part 1107.</x:v>
      </x:c>
      <x:c r="I23" s="25" t="str">
        <x:v>Periodic testing plan, sample-selection records, reports, CPC updates.</x:v>
      </x:c>
      <x:c r="J23" s="25" t="str">
        <x:v>Maintain high degree of assurance, select representative samples, retain records.</x:v>
      </x:c>
      <x:c r="K23" s="25" t="str">
        <x:v>Update CPC and product documentation as needed.</x:v>
      </x:c>
      <x:c r="L23" s="25" t="str">
        <x:v>Loss of certification basis and enforcement exposure.</x:v>
      </x:c>
      <x:c r="M23" s="25" t="str">
        <x:v>Current guidance/rules checked 2026-09-09</x:v>
      </x:c>
      <x:c r="N23" s="25" t="str">
        <x:v>S042</x:v>
      </x:c>
      <x:c r="O23" s="25" t="str">
        <x:v>VERIFIED</x:v>
      </x:c>
      <x:c r="P23" s="25" t="str">
        <x:v>P1</x:v>
      </x:c>
      <x:c r="Q23" s="25" t="str">
        <x:v>Short production runs under one year can avoid a separate periodic event, but initial and material-change duties remain.</x:v>
      </x:c>
    </x:row>
    <x:row r="24" ht="74" customHeight="1">
      <x:c r="A24" s="25" t="str">
        <x:v>R-TOY-017</x:v>
      </x:c>
      <x:c r="B24" s="25" t="str">
        <x:v>Children's toys</x:v>
      </x:c>
      <x:c r="C24" s="25" t="str">
        <x:v>Water-bead toy requirements</x:v>
      </x:c>
      <x:c r="D24" s="25" t="str">
        <x:v>Federal regulation</x:v>
      </x:c>
      <x:c r="E24" s="25" t="str">
        <x:v>Water-bead toy or toy containing liquid-absorbent polymer beads.</x:v>
      </x:c>
      <x:c r="F24" s="25" t="str">
        <x:v>USA</x:v>
      </x:c>
      <x:c r="G24" s="25" t="str">
        <x:v>CPSC</x:v>
      </x:c>
      <x:c r="H24" s="25" t="str">
        <x:v>Dehydrated/expanded size passage test, 72-hour expansion protocol, extractable acrylamide analysis, and applicable F963 tests.</x:v>
      </x:c>
      <x:c r="I24" s="25" t="str">
        <x:v>CPSC-accepted lab report; CPC citing 16 CFR 1250.4 and applicable F963 sections.</x:v>
      </x:c>
      <x:c r="J24" s="25" t="str">
        <x:v>Meet size and 325 microgram extractable-acrylamide limits; apply product/package/manual warnings.</x:v>
      </x:c>
      <x:c r="K24" s="25" t="str">
        <x:v>Permanent English warnings on product/container/package and matching instructional warnings.</x:v>
      </x:c>
      <x:c r="L24" s="25" t="str">
        <x:v>Ingestion/aspiration injury, banned product, recall, platform removal.</x:v>
      </x:c>
      <x:c r="M24" s="25" t="str">
        <x:v>Effective 2026-03-12</x:v>
      </x:c>
      <x:c r="N24" s="25" t="str">
        <x:v>S016</x:v>
      </x:c>
      <x:c r="O24" s="25" t="str">
        <x:v>VERIFIED</x:v>
      </x:c>
      <x:c r="P24" s="25" t="str">
        <x:v>P1</x:v>
      </x:c>
      <x:c r="Q24" s="25" t="str">
        <x:v>eBay separately prohibits water beads in Toys &amp; Hobbies or when advertised for children.</x:v>
      </x:c>
    </x:row>
    <x:row r="25" ht="74" customHeight="1">
      <x:c r="A25" s="25" t="str">
        <x:v>R-TOY-018</x:v>
      </x:c>
      <x:c r="B25" s="25" t="str">
        <x:v>Children's toys</x:v>
      </x:c>
      <x:c r="C25" s="25" t="str">
        <x:v>Neck-float requirements</x:v>
      </x:c>
      <x:c r="D25" s="25" t="str">
        <x:v>Federal regulation</x:v>
      </x:c>
      <x:c r="E25" s="25" t="str">
        <x:v>Article encircles and supports a child by the neck, is for water play, and is intended for children through age four.</x:v>
      </x:c>
      <x:c r="F25" s="25" t="str">
        <x:v>USA</x:v>
      </x:c>
      <x:c r="G25" s="25" t="str">
        <x:v>CPSC</x:v>
      </x:c>
      <x:c r="H25" s="25" t="str">
        <x:v>Thermal/saltwater/UV conditioning, buoyancy, restraint release, neck-opening head-probe tests, and applicable F963 tests.</x:v>
      </x:c>
      <x:c r="I25" s="25" t="str">
        <x:v>CPSC-accepted lab report; CPC citing 16 CFR 1250.5 and applicable F963 sections.</x:v>
      </x:c>
      <x:c r="J25" s="25" t="str">
        <x:v>Meet construction/performance rules; supply fit, maintenance, use, and leak-check instructions as applicable.</x:v>
      </x:c>
      <x:c r="K25" s="25" t="str">
        <x:v>Permanent English drowning warnings on product/package; separate manual with same warnings and use instructions.</x:v>
      </x:c>
      <x:c r="L25" s="25" t="str">
        <x:v>Drowning risk, banned product, recall, import/platform action.</x:v>
      </x:c>
      <x:c r="M25" s="25" t="str">
        <x:v>Effective 2026-06-15</x:v>
      </x:c>
      <x:c r="N25" s="25" t="str">
        <x:v>S017; S038</x:v>
      </x:c>
      <x:c r="O25" s="25" t="str">
        <x:v>VERIFIED</x:v>
      </x:c>
      <x:c r="P25" s="25" t="str">
        <x:v>P1</x:v>
      </x:c>
      <x:c r="Q25" s="25" t="str">
        <x:v>Specialty rule with high test cost; exclude from first demo unless product attribute is true.</x:v>
      </x:c>
    </x:row>
    <x:row r="26" ht="74" customHeight="1">
      <x:c r="A26" s="25" t="str">
        <x:v>R-TOY-019</x:v>
      </x:c>
      <x:c r="B26" s="25" t="str">
        <x:v>Children's toys</x:v>
      </x:c>
      <x:c r="C26" s="25" t="str">
        <x:v>Amazon annual toy compliance verification</x:v>
      </x:c>
      <x:c r="D26" s="25" t="str">
        <x:v>Platform rule</x:v>
      </x:c>
      <x:c r="E26" s="25" t="str">
        <x:v>Children's toy ASIN offered in the US Amazon store and selected/notified under the policy.</x:v>
      </x:c>
      <x:c r="F26" s="25" t="str">
        <x:v>Amazon US</x:v>
      </x:c>
      <x:c r="G26" s="25" t="str">
        <x:v>Amazon</x:v>
      </x:c>
      <x:c r="H26" s="25" t="str">
        <x:v>Annual product testing or document verification by an Amazon-approved testing, inspection, and certification provider.</x:v>
      </x:c>
      <x:c r="I26" s="25" t="str">
        <x:v>Provider-verified test evidence and compliance documents requested for the ASIN.</x:v>
      </x:c>
      <x:c r="J26" s="25" t="str">
        <x:v>Use the Compliance Reference workflow, select an approved provider, accept quote, submit samples or documents, and resolve Account Health due dates.</x:v>
      </x:c>
      <x:c r="K26" s="25" t="str">
        <x:v>Listing images/labels and documents as provider requests.</x:v>
      </x:c>
      <x:c r="L26" s="25" t="str">
        <x:v>ASIN removal or account-health impact.</x:v>
      </x:c>
      <x:c r="M26" s="25" t="str">
        <x:v>Policy began 2025-09-03; official notice updated 2026</x:v>
      </x:c>
      <x:c r="N26" s="25" t="str">
        <x:v>S030</x:v>
      </x:c>
      <x:c r="O26" s="25" t="str">
        <x:v>VERIFIED</x:v>
      </x:c>
      <x:c r="P26" s="25" t="str">
        <x:v>P0</x:v>
      </x:c>
      <x:c r="Q26" s="25" t="str">
        <x:v>Provider price is quote-based and was not publicly verified.</x:v>
      </x:c>
    </x:row>
    <x:row r="27" ht="74" customHeight="1">
      <x:c r="A27" s="25" t="str">
        <x:v>R-TOY-020</x:v>
      </x:c>
      <x:c r="B27" s="25" t="str">
        <x:v>Children's toys</x:v>
      </x:c>
      <x:c r="C27" s="25" t="str">
        <x:v>eBay product safety restrictions</x:v>
      </x:c>
      <x:c r="D27" s="25" t="str">
        <x:v>Platform rule</x:v>
      </x:c>
      <x:c r="E27" s="25" t="str">
        <x:v>Toy/product is recalled, prohibited, presents identified product-safety hazards, or matches an eBay-specific prohibition such as certain swallowable child-appealing magnets or child-marketed water beads.</x:v>
      </x:c>
      <x:c r="F27" s="25" t="str">
        <x:v>eBay US</x:v>
      </x:c>
      <x:c r="G27" s="25" t="str">
        <x:v>eBay</x:v>
      </x:c>
      <x:c r="H27" s="25" t="str">
        <x:v>No fixed platform lab method; underlying regulatory tests and listing review.</x:v>
      </x:c>
      <x:c r="I27" s="25" t="str">
        <x:v>Applicable certificates/reports; recall status; listing content.</x:v>
      </x:c>
      <x:c r="J27" s="25" t="str">
        <x:v>Do not list prohibited products; monitor recalls and category-specific examples; remove unsafe inventory.</x:v>
      </x:c>
      <x:c r="K27" s="25" t="str">
        <x:v>Accurate safety information and warnings where allowed.</x:v>
      </x:c>
      <x:c r="L27" s="25" t="str">
        <x:v>Listing removal, selling restrictions, or account suspension.</x:v>
      </x:c>
      <x:c r="M27" s="25" t="str">
        <x:v>Policy checked 2026-09-09</x:v>
      </x:c>
      <x:c r="N27" s="25" t="str">
        <x:v>S033</x:v>
      </x:c>
      <x:c r="O27" s="25" t="str">
        <x:v>VERIFIED</x:v>
      </x:c>
      <x:c r="P27" s="25" t="str">
        <x:v>P0</x:v>
      </x:c>
      <x:c r="Q27" s="25" t="str">
        <x:v>Platform prohibition may be stricter than federal eligibility.</x:v>
      </x:c>
    </x:row>
    <x:row r="28" ht="74" customHeight="1">
      <x:c r="A28" s="25" t="str">
        <x:v>R-ELEC-001</x:v>
      </x:c>
      <x:c r="B28" s="25" t="str">
        <x:v>Small consumer electronics</x:v>
      </x:c>
      <x:c r="C28" s="25" t="str">
        <x:v>General-use versus children's-product classification</x:v>
      </x:c>
      <x:c r="D28" s="25" t="str">
        <x:v>Federal regulation</x:v>
      </x:c>
      <x:c r="E28" s="25" t="str">
        <x:v>Electronic device may be intended primarily for children 12 or younger based on labeling, packaging, advertising, consumer recognition, size, theme, and play value.</x:v>
      </x:c>
      <x:c r="F28" s="25" t="str">
        <x:v>USA</x:v>
      </x:c>
      <x:c r="G28" s="25" t="str">
        <x:v>CPSC</x:v>
      </x:c>
      <x:c r="H28" s="25" t="str">
        <x:v>Classification review; CPSC age determination where needed.</x:v>
      </x:c>
      <x:c r="I28" s="25" t="str">
        <x:v>Classification memo and marketing evidence.</x:v>
      </x:c>
      <x:c r="J28" s="25" t="str">
        <x:v>If child-targeted, route to applicable children's-product and toy rules in addition to FCC/energy/transport rules.</x:v>
      </x:c>
      <x:c r="K28" s="25" t="str">
        <x:v>Age and safety labels as triggered.</x:v>
      </x:c>
      <x:c r="L28" s="25" t="str">
        <x:v>Under-compliance if a child-targeted device is treated as general use.</x:v>
      </x:c>
      <x:c r="M28" s="25" t="str">
        <x:v>Current guidance checked 2026-09-09</x:v>
      </x:c>
      <x:c r="N28" s="25" t="str">
        <x:v>S006</x:v>
      </x:c>
      <x:c r="O28" s="25" t="str">
        <x:v>VERIFIED</x:v>
      </x:c>
      <x:c r="P28" s="25" t="str">
        <x:v>P0</x:v>
      </x:c>
      <x:c r="Q28" s="25" t="str">
        <x:v>Ordinary media players/electronics are generally general use, but child-themed or sized versions can be children's products.</x:v>
      </x:c>
    </x:row>
    <x:row r="29" ht="74" customHeight="1">
      <x:c r="A29" s="25" t="str">
        <x:v>R-ELEC-002</x:v>
      </x:c>
      <x:c r="B29" s="25" t="str">
        <x:v>Small consumer electronics</x:v>
      </x:c>
      <x:c r="C29" s="25" t="str">
        <x:v>FCC certification for intentional radiators</x:v>
      </x:c>
      <x:c r="D29" s="25" t="str">
        <x:v>Federal regulation</x:v>
      </x:c>
      <x:c r="E29" s="25" t="str">
        <x:v>Device intentionally generates and emits RF, including Bluetooth or Wi-Fi, unless a narrow exception applies.</x:v>
      </x:c>
      <x:c r="F29" s="25" t="str">
        <x:v>USA</x:v>
      </x:c>
      <x:c r="G29" s="25" t="str">
        <x:v>FCC</x:v>
      </x:c>
      <x:c r="H29" s="25" t="str">
        <x:v>Applicable Part 15 technical tests by an FCC-recognized accredited laboratory; RF exposure evaluation; TCB review.</x:v>
      </x:c>
      <x:c r="I29" s="25" t="str">
        <x:v>FCC Form 731 application exhibits, test report, operational description, schematics/photos, label, user information, TCB grant/FCC ID.</x:v>
      </x:c>
      <x:c r="J29" s="25" t="str">
        <x:v>Obtain grant of certification before marketing; ensure production conforms to authorized design; screen Covered List restrictions.</x:v>
      </x:c>
      <x:c r="K29" s="25" t="str">
        <x:v>FCC ID and Part 15 statements/warnings as applicable.</x:v>
      </x:c>
      <x:c r="L29" s="25" t="str">
        <x:v>Marketing/import prohibition, enforcement, seizure/recall, Amazon/eBay removal.</x:v>
      </x:c>
      <x:c r="M29" s="25" t="str">
        <x:v>Current eCFR checked 2026-09-09</x:v>
      </x:c>
      <x:c r="N29" s="25" t="str">
        <x:v>S019; S039; S048</x:v>
      </x:c>
      <x:c r="O29" s="25" t="str">
        <x:v>VERIFIED</x:v>
      </x:c>
      <x:c r="P29" s="25" t="str">
        <x:v>P0</x:v>
      </x:c>
      <x:c r="Q29" s="25" t="str">
        <x:v>Bluetooth certification by the Bluetooth SIG is separate from FCC authorization and is not a substitute.</x:v>
      </x:c>
    </x:row>
    <x:row r="30" ht="74" customHeight="1">
      <x:c r="A30" s="25" t="str">
        <x:v>R-ELEC-003</x:v>
      </x:c>
      <x:c r="B30" s="25" t="str">
        <x:v>Small consumer electronics</x:v>
      </x:c>
      <x:c r="C30" s="25" t="str">
        <x:v>FCC authorization for unintentional radiators</x:v>
      </x:c>
      <x:c r="D30" s="25" t="str">
        <x:v>Federal regulation</x:v>
      </x:c>
      <x:c r="E30" s="25" t="str">
        <x:v>Digital device, peripheral, or external switching power supply falls within Part 15 Subpart B and is not exempt.</x:v>
      </x:c>
      <x:c r="F30" s="25" t="str">
        <x:v>USA</x:v>
      </x:c>
      <x:c r="G30" s="25" t="str">
        <x:v>FCC</x:v>
      </x:c>
      <x:c r="H30" s="25" t="str">
        <x:v>Radiated and, where applicable, conducted emissions to the relevant Class A/B limits using recognized measurement procedures.</x:v>
      </x:c>
      <x:c r="I30" s="25" t="str">
        <x:v>SDoC compliance records or certification grant; test report; product compliance information.</x:v>
      </x:c>
      <x:c r="J30" s="25" t="str">
        <x:v>Select SDoC or certification as allowed by 47 CFR 15.101; maintain records and production conformity.</x:v>
      </x:c>
      <x:c r="K30" s="25" t="str">
        <x:v>Part 15 label and Class A/B user statement as applicable.</x:v>
      </x:c>
      <x:c r="L30" s="25" t="str">
        <x:v>Marketing/import enforcement and platform removal.</x:v>
      </x:c>
      <x:c r="M30" s="25" t="str">
        <x:v>Current eCFR checked 2026-09-09</x:v>
      </x:c>
      <x:c r="N30" s="25" t="str">
        <x:v>S020; S021; S022</x:v>
      </x:c>
      <x:c r="O30" s="25" t="str">
        <x:v>VERIFIED</x:v>
      </x:c>
      <x:c r="P30" s="25" t="str">
        <x:v>P0</x:v>
      </x:c>
      <x:c r="Q30" s="25" t="str">
        <x:v>Most consumer devices are Class B; confirm classification rather than assume.</x:v>
      </x:c>
    </x:row>
    <x:row r="31" ht="74" customHeight="1">
      <x:c r="A31" s="25" t="str">
        <x:v>R-ELEC-004</x:v>
      </x:c>
      <x:c r="B31" s="25" t="str">
        <x:v>Small consumer electronics</x:v>
      </x:c>
      <x:c r="C31" s="25" t="str">
        <x:v>FCC unintentional-radiator exemption screen</x:v>
      </x:c>
      <x:c r="D31" s="25" t="str">
        <x:v>Federal regulation</x:v>
      </x:c>
      <x:c r="E31" s="25" t="str">
        <x:v>Potential exemption under 47 CFR 15.103, including a battery-only device whose highest generated/used frequency is below 1.705 MHz and that has no AC operating or charging connection.</x:v>
      </x:c>
      <x:c r="F31" s="25" t="str">
        <x:v>USA</x:v>
      </x:c>
      <x:c r="G31" s="25" t="str">
        <x:v>FCC</x:v>
      </x:c>
      <x:c r="H31" s="25" t="str">
        <x:v>Engineering frequency/power analysis; verify every function is exempt.</x:v>
      </x:c>
      <x:c r="I31" s="25" t="str">
        <x:v>Signed exemption rationale with block diagram, clocks, interfaces, and power modes.</x:v>
      </x:c>
      <x:c r="J31" s="25" t="str">
        <x:v>Do not claim exemption if device can operate while connected to AC/charger or contains another non-exempt function.</x:v>
      </x:c>
      <x:c r="K31" s="25" t="str">
        <x:v>Even exempt devices remain subject to certain general conditions and good engineering practice.</x:v>
      </x:c>
      <x:c r="L31" s="25" t="str">
        <x:v>False exemption leads to unauthorized marketing/import.</x:v>
      </x:c>
      <x:c r="M31" s="25" t="str">
        <x:v>Current eCFR checked 2026-09-09</x:v>
      </x:c>
      <x:c r="N31" s="25" t="str">
        <x:v>S020</x:v>
      </x:c>
      <x:c r="O31" s="25" t="str">
        <x:v>VERIFIED</x:v>
      </x:c>
      <x:c r="P31" s="25" t="str">
        <x:v>P0</x:v>
      </x:c>
      <x:c r="Q31" s="25" t="str">
        <x:v>Exemption is narrow and attribute-dependent.</x:v>
      </x:c>
    </x:row>
    <x:row r="32" ht="74" customHeight="1">
      <x:c r="A32" s="25" t="str">
        <x:v>R-ELEC-005</x:v>
      </x:c>
      <x:c r="B32" s="25" t="str">
        <x:v>Small consumer electronics</x:v>
      </x:c>
      <x:c r="C32" s="25" t="str">
        <x:v>FCC Supplier's Declaration of Conformity responsible party and compliance information</x:v>
      </x:c>
      <x:c r="D32" s="25" t="str">
        <x:v>Federal regulation</x:v>
      </x:c>
      <x:c r="E32" s="25" t="str">
        <x:v>Equipment uses the SDoC authorization procedure.</x:v>
      </x:c>
      <x:c r="F32" s="25" t="str">
        <x:v>USA</x:v>
      </x:c>
      <x:c r="G32" s="25" t="str">
        <x:v>FCC</x:v>
      </x:c>
      <x:c r="H32" s="25" t="str">
        <x:v>Part 15 Subpart B tests supporting SDoC.</x:v>
      </x:c>
      <x:c r="I32" s="25" t="str">
        <x:v>Compliance information statement and underlying records.</x:v>
      </x:c>
      <x:c r="J32" s="25" t="str">
        <x:v>Designate a responsible party located in the United States; supply model/product identification, compliance statement, and US contact information at marketing/import.</x:v>
      </x:c>
      <x:c r="K32" s="25" t="str">
        <x:v>Information may be in manual, separate sheet, packaging, or electronic display as permitted.</x:v>
      </x:c>
      <x:c r="L32" s="25" t="str">
        <x:v>Invalid SDoC, marketing/import enforcement, retailer rejection.</x:v>
      </x:c>
      <x:c r="M32" s="25" t="str">
        <x:v>Current eCFR checked 2026-09-09</x:v>
      </x:c>
      <x:c r="N32" s="25" t="str">
        <x:v>S022</x:v>
      </x:c>
      <x:c r="O32" s="25" t="str">
        <x:v>VERIFIED</x:v>
      </x:c>
      <x:c r="P32" s="25" t="str">
        <x:v>P0</x:v>
      </x:c>
      <x:c r="Q32" s="25" t="str">
        <x:v>A foreign supplier without a qualifying US responsible party cannot complete this path alone.</x:v>
      </x:c>
    </x:row>
    <x:row r="33" ht="74" customHeight="1">
      <x:c r="A33" s="25" t="str">
        <x:v>R-ELEC-006</x:v>
      </x:c>
      <x:c r="B33" s="25" t="str">
        <x:v>Small consumer electronics</x:v>
      </x:c>
      <x:c r="C33" s="25" t="str">
        <x:v>FCC product labels and user information</x:v>
      </x:c>
      <x:c r="D33" s="25" t="str">
        <x:v>Federal regulation</x:v>
      </x:c>
      <x:c r="E33" s="25" t="str">
        <x:v>Part 15 device is authorized; exact content depends on authorization type, size, and device class.</x:v>
      </x:c>
      <x:c r="F33" s="25" t="str">
        <x:v>USA</x:v>
      </x:c>
      <x:c r="G33" s="25" t="str">
        <x:v>FCC</x:v>
      </x:c>
      <x:c r="H33" s="25" t="str">
        <x:v>Artwork/manual review.</x:v>
      </x:c>
      <x:c r="I33" s="25" t="str">
        <x:v>Final label artwork, photos, manual, electronic-label procedure if used.</x:v>
      </x:c>
      <x:c r="J33" s="25" t="str">
        <x:v>Apply FCC ID to certified equipment; apply Part 15 statement and include modification/interference information as applicable.</x:v>
      </x:c>
      <x:c r="K33" s="25" t="str">
        <x:v>47 CFR 15.19 device statement; 15.21 modification warning; 15.105 Class A/B interference text; FCC ID under 2.925 for certification.</x:v>
      </x:c>
      <x:c r="L33" s="25" t="str">
        <x:v>Mislabeling, grant inconsistency, enforcement, platform failure.</x:v>
      </x:c>
      <x:c r="M33" s="25" t="str">
        <x:v>Current eCFR checked 2026-09-09</x:v>
      </x:c>
      <x:c r="N33" s="25" t="str">
        <x:v>S021; S039</x:v>
      </x:c>
      <x:c r="O33" s="25" t="str">
        <x:v>VERIFIED</x:v>
      </x:c>
      <x:c r="P33" s="25" t="str">
        <x:v>P0</x:v>
      </x:c>
      <x:c r="Q33" s="25" t="str">
        <x:v>Do not place the FCC logo unless the specific authorization/labeling rules permit it.</x:v>
      </x:c>
    </x:row>
    <x:row r="34" ht="74" customHeight="1">
      <x:c r="A34" s="25" t="str">
        <x:v>R-ELEC-007</x:v>
      </x:c>
      <x:c r="B34" s="25" t="str">
        <x:v>Small consumer electronics</x:v>
      </x:c>
      <x:c r="C34" s="25" t="str">
        <x:v>FCC RF exposure evaluation for portable devices</x:v>
      </x:c>
      <x:c r="D34" s="25" t="str">
        <x:v>Federal regulation</x:v>
      </x:c>
      <x:c r="E34" s="25" t="str">
        <x:v>Transmitting device is generally used with the radiating structure within 20 cm of the body and exceeds the applicable exemption threshold or has multiple RF sources whose exemption ratio exceeds one.</x:v>
      </x:c>
      <x:c r="F34" s="25" t="str">
        <x:v>USA</x:v>
      </x:c>
      <x:c r="G34" s="25" t="str">
        <x:v>FCC</x:v>
      </x:c>
      <x:c r="H34" s="25" t="str">
        <x:v>SAR or MPE evaluation as prescribed by frequency/use; exemption calculation where eligible.</x:v>
      </x:c>
      <x:c r="I34" s="25" t="str">
        <x:v>RF exposure report/calculation and certification application statement.</x:v>
      </x:c>
      <x:c r="J34" s="25" t="str">
        <x:v>Evaluate every operating configuration, antenna, power level, and simultaneous transmission mode.</x:v>
      </x:c>
      <x:c r="K34" s="25" t="str">
        <x:v>Exposure separation/use instructions when relied on for compliance.</x:v>
      </x:c>
      <x:c r="L34" s="25" t="str">
        <x:v>Grant denial, unsafe exposure, enforcement or recall.</x:v>
      </x:c>
      <x:c r="M34" s="25" t="str">
        <x:v>Current eCFR checked 2026-09-09</x:v>
      </x:c>
      <x:c r="N34" s="25" t="str">
        <x:v>S023</x:v>
      </x:c>
      <x:c r="O34" s="25" t="str">
        <x:v>VERIFIED</x:v>
      </x:c>
      <x:c r="P34" s="25" t="str">
        <x:v>P0</x:v>
      </x:c>
      <x:c r="Q34" s="25" t="str">
        <x:v>Earbuds and body-worn devices are normally portable configurations; actual power and distance determine test burden.</x:v>
      </x:c>
    </x:row>
    <x:row r="35" ht="74" customHeight="1">
      <x:c r="A35" s="25" t="str">
        <x:v>R-ELEC-008</x:v>
      </x:c>
      <x:c r="B35" s="25" t="str">
        <x:v>Small consumer electronics</x:v>
      </x:c>
      <x:c r="C35" s="25" t="str">
        <x:v>FCC RF exposure evaluation for mobile devices</x:v>
      </x:c>
      <x:c r="D35" s="25" t="str">
        <x:v>Federal regulation</x:v>
      </x:c>
      <x:c r="E35" s="25" t="str">
        <x:v>Transmitting device normally maintains at least 20 cm separation and exceeds the applicable exemption threshold or aggregate ratio.</x:v>
      </x:c>
      <x:c r="F35" s="25" t="str">
        <x:v>USA</x:v>
      </x:c>
      <x:c r="G35" s="25" t="str">
        <x:v>FCC</x:v>
      </x:c>
      <x:c r="H35" s="25" t="str">
        <x:v>MPE/ERP evaluation or applicable measurement.</x:v>
      </x:c>
      <x:c r="I35" s="25" t="str">
        <x:v>RF exposure report/calculation and certification evidence.</x:v>
      </x:c>
      <x:c r="J35" s="25" t="str">
        <x:v>Document installation/use conditions maintaining separation and assess co-located transmitters.</x:v>
      </x:c>
      <x:c r="K35" s="25" t="str">
        <x:v>Manual/installation separation instructions when relied on.</x:v>
      </x:c>
      <x:c r="L35" s="25" t="str">
        <x:v>Grant denial, enforcement, unsafe exposure.</x:v>
      </x:c>
      <x:c r="M35" s="25" t="str">
        <x:v>Current eCFR checked 2026-09-09</x:v>
      </x:c>
      <x:c r="N35" s="25" t="str">
        <x:v>S024</x:v>
      </x:c>
      <x:c r="O35" s="25" t="str">
        <x:v>VERIFIED</x:v>
      </x:c>
      <x:c r="P35" s="25" t="str">
        <x:v>P1</x:v>
      </x:c>
      <x:c r="Q35" s="25" t="str">
        <x:v>Portable and mobile definitions are use-configuration based, not merely product names.</x:v>
      </x:c>
    </x:row>
    <x:row r="36" ht="74" customHeight="1">
      <x:c r="A36" s="25" t="str">
        <x:v>R-ELEC-009</x:v>
      </x:c>
      <x:c r="B36" s="25" t="str">
        <x:v>Small consumer electronics</x:v>
      </x:c>
      <x:c r="C36" s="25" t="str">
        <x:v>Certified RF module integration</x:v>
      </x:c>
      <x:c r="D36" s="25" t="str">
        <x:v>Federal policy/guidance</x:v>
      </x:c>
      <x:c r="E36" s="25" t="str">
        <x:v>Host uses a certified or limited-modular transmitter.</x:v>
      </x:c>
      <x:c r="F36" s="25" t="str">
        <x:v>USA</x:v>
      </x:c>
      <x:c r="G36" s="25" t="str">
        <x:v>FCC Office of Engineering and Technology</x:v>
      </x:c>
      <x:c r="H36" s="25" t="str">
        <x:v>Review module grant, antennas, RF exposure, co-location, host emissions, and integration instructions; additional testing or permissive change may be required.</x:v>
      </x:c>
      <x:c r="I36" s="25" t="str">
        <x:v>Module FCC grant, OEM integration instructions, host test report, label/manual evidence.</x:v>
      </x:c>
      <x:c r="J36" s="25" t="str">
        <x:v>Use only authorized configurations; preserve module conditions; label host and complete host digital-device compliance.</x:v>
      </x:c>
      <x:c r="K36" s="25" t="str">
        <x:v>Contains-FCC-ID label and module-required user statements where applicable.</x:v>
      </x:c>
      <x:c r="L36" s="25" t="str">
        <x:v>Unauthorized host configuration, invalid reliance on module grant, platform removal.</x:v>
      </x:c>
      <x:c r="M36" s="25" t="str">
        <x:v>KDB 996369 guidance current listing checked 2026-09-09</x:v>
      </x:c>
      <x:c r="N36" s="25" t="str">
        <x:v>S040</x:v>
      </x:c>
      <x:c r="O36" s="25" t="str">
        <x:v>VERIFIED</x:v>
      </x:c>
      <x:c r="P36" s="25" t="str">
        <x:v>P0</x:v>
      </x:c>
      <x:c r="Q36" s="25" t="str">
        <x:v>Module certification does not automatically authorize the full host product.</x:v>
      </x:c>
    </x:row>
    <x:row r="37" ht="74" customHeight="1">
      <x:c r="A37" s="25" t="str">
        <x:v>R-ELEC-010</x:v>
      </x:c>
      <x:c r="B37" s="25" t="str">
        <x:v>Small consumer electronics</x:v>
      </x:c>
      <x:c r="C37" s="25" t="str">
        <x:v>DOE external power supply energy conservation</x:v>
      </x:c>
      <x:c r="D37" s="25" t="str">
        <x:v>Federal regulation</x:v>
      </x:c>
      <x:c r="E37" s="25" t="str">
        <x:v>Included or separately sold unit meets the federal external-power-supply definition and no exception applies.</x:v>
      </x:c>
      <x:c r="F37" s="25" t="str">
        <x:v>USA</x:v>
      </x:c>
      <x:c r="G37" s="25" t="str">
        <x:v>U.S. Department of Energy</x:v>
      </x:c>
      <x:c r="H37" s="25" t="str">
        <x:v>10 CFR part 430 Appendix Z procedure; sampling under 10 CFR 429.37.</x:v>
      </x:c>
      <x:c r="I37" s="25" t="str">
        <x:v>DOE CCMS certification report, test data, basic-model/design-family records.</x:v>
      </x:c>
      <x:c r="J37" s="25" t="str">
        <x:v>Test and certify before distribution; file annual certification; meet active/no-load standards.</x:v>
      </x:c>
      <x:c r="K37" s="25" t="str">
        <x:v>Permanent Level VI or other required international efficiency mark and nameplate data.</x:v>
      </x:c>
      <x:c r="L37" s="25" t="str">
        <x:v>Distribution prohibition, DOE enforcement, civil penalties, retailer rejection.</x:v>
      </x:c>
      <x:c r="M37" s="25" t="str">
        <x:v>Current standards checked 2026-09-09; reporting change effective 2026-05-28</x:v>
      </x:c>
      <x:c r="N37" s="25" t="str">
        <x:v>S027; S028; S043</x:v>
      </x:c>
      <x:c r="O37" s="25" t="str">
        <x:v>VERIFIED</x:v>
      </x:c>
      <x:c r="P37" s="25" t="str">
        <x:v>P0</x:v>
      </x:c>
      <x:c r="Q37" s="25" t="str">
        <x:v>The standard applies to the supply, not automatically to the connected end-use product.</x:v>
      </x:c>
    </x:row>
    <x:row r="38" ht="74" customHeight="1">
      <x:c r="A38" s="25" t="str">
        <x:v>R-ELEC-011</x:v>
      </x:c>
      <x:c r="B38" s="25" t="str">
        <x:v>Small consumer electronics</x:v>
      </x:c>
      <x:c r="C38" s="25" t="str">
        <x:v>DOE battery charger energy conservation</x:v>
      </x:c>
      <x:c r="D38" s="25" t="str">
        <x:v>Federal regulation</x:v>
      </x:c>
      <x:c r="E38" s="25" t="str">
        <x:v>Product is a covered battery charger manufactured on or after 2018 and no medical-device exclusion applies.</x:v>
      </x:c>
      <x:c r="F38" s="25" t="str">
        <x:v>USA</x:v>
      </x:c>
      <x:c r="G38" s="25" t="str">
        <x:v>U.S. Department of Energy</x:v>
      </x:c>
      <x:c r="H38" s="25" t="str">
        <x:v>DOE battery-charger test procedure and sampling; determine rated battery energy and unit energy consumption.</x:v>
      </x:c>
      <x:c r="I38" s="25" t="str">
        <x:v>DOE CCMS certification report, test data, basic-model records.</x:v>
      </x:c>
      <x:c r="J38" s="25" t="str">
        <x:v>Meet product-class maximum UEC; certify before distribution and annually by September 1.</x:v>
      </x:c>
      <x:c r="K38" s="25" t="str">
        <x:v>Required representations/nameplate information as applicable.</x:v>
      </x:c>
      <x:c r="L38" s="25" t="str">
        <x:v>Distribution prohibition, DOE enforcement, civil penalties.</x:v>
      </x:c>
      <x:c r="M38" s="25" t="str">
        <x:v>Standards apply from 2018-06-13; current eCFR checked 2026-09-09</x:v>
      </x:c>
      <x:c r="N38" s="25" t="str">
        <x:v>S043; S044</x:v>
      </x:c>
      <x:c r="O38" s="25" t="str">
        <x:v>VERIFIED</x:v>
      </x:c>
      <x:c r="P38" s="25" t="str">
        <x:v>P0</x:v>
      </x:c>
      <x:c r="Q38" s="25" t="str">
        <x:v>A USB charging feature can be a covered charger; apply the regulatory definition and exclusions.</x:v>
      </x:c>
    </x:row>
    <x:row r="39" ht="74" customHeight="1">
      <x:c r="A39" s="25" t="str">
        <x:v>R-ELEC-012</x:v>
      </x:c>
      <x:c r="B39" s="25" t="str">
        <x:v>Small consumer electronics</x:v>
      </x:c>
      <x:c r="C39" s="25" t="str">
        <x:v>Lithium battery UN 38.3 and US transport controls</x:v>
      </x:c>
      <x:c r="D39" s="25" t="str">
        <x:v>Federal transport regulation</x:v>
      </x:c>
      <x:c r="E39" s="25" t="str">
        <x:v>Lithium-ion or lithium-metal cell/battery is offered for transportation, whether standalone, packed with, or contained in equipment.</x:v>
      </x:c>
      <x:c r="F39" s="25" t="str">
        <x:v>USA transport</x:v>
      </x:c>
      <x:c r="G39" s="25" t="str">
        <x:v>PHMSA/DOT</x:v>
      </x:c>
      <x:c r="H39" s="25" t="str">
        <x:v>UN Manual of Tests and Criteria subsection 38.3 for the battery type; packaging/marking analysis under 49 CFR 173.185.</x:v>
      </x:c>
      <x:c r="I39" s="25" t="str">
        <x:v>UN 38.3 test summary; manufacturer test record; battery specification; shipping document where required.</x:v>
      </x:c>
      <x:c r="J39" s="25" t="str">
        <x:v>Obtain summary before shipping; classify by Wh/lithium content and configuration; package against short circuit, damage, and activation; apply quantity/mode/carrier rules.</x:v>
      </x:c>
      <x:c r="K39" s="25" t="str">
        <x:v>Lithium battery mark and Wh marking where required; exceptions depend on configuration and quantity.</x:v>
      </x:c>
      <x:c r="L39" s="25" t="str">
        <x:v>Carrier rejection, hazardous-material enforcement, fire risk, platform fulfillment rejection.</x:v>
      </x:c>
      <x:c r="M39" s="25" t="str">
        <x:v>Test-summary requirement current; Wh marking change effective 2024-05-10</x:v>
      </x:c>
      <x:c r="N39" s="25" t="str">
        <x:v>S025; S026</x:v>
      </x:c>
      <x:c r="O39" s="25" t="str">
        <x:v>VERIFIED</x:v>
      </x:c>
      <x:c r="P39" s="25" t="str">
        <x:v>P0</x:v>
      </x:c>
      <x:c r="Q39" s="25" t="str">
        <x:v>UN 38.3 is a transport prerequisite, not FCC or product-safety certification.</x:v>
      </x:c>
    </x:row>
    <x:row r="40" ht="74" customHeight="1">
      <x:c r="A40" s="25" t="str">
        <x:v>R-ELEC-013</x:v>
      </x:c>
      <x:c r="B40" s="25" t="str">
        <x:v>Small consumer electronics</x:v>
      </x:c>
      <x:c r="C40" s="25" t="str">
        <x:v>FCC Covered List authorization prohibition and applicant attestations</x:v>
      </x:c>
      <x:c r="D40" s="25" t="str">
        <x:v>Federal regulation</x:v>
      </x:c>
      <x:c r="E40" s="25" t="str">
        <x:v>Equipment or producer is on the FCC Covered List, or a certification application/permissive change is filed.</x:v>
      </x:c>
      <x:c r="F40" s="25" t="str">
        <x:v>USA</x:v>
      </x:c>
      <x:c r="G40" s="25" t="str">
        <x:v>FCC</x:v>
      </x:c>
      <x:c r="H40" s="25" t="str">
        <x:v>Supply-chain screening; no test can cure a covered-equipment prohibition.</x:v>
      </x:c>
      <x:c r="I40" s="25" t="str">
        <x:v>Signed Covered List certifications/attestations and supply-chain records.</x:v>
      </x:c>
      <x:c r="J40" s="25" t="str">
        <x:v>Screen applicant, producer, module, and equipment; submit required statements with certification and changes.</x:v>
      </x:c>
      <x:c r="K40" s="25" t="str">
        <x:v>No consumer label substitutes for the prohibition.</x:v>
      </x:c>
      <x:c r="L40" s="25" t="str">
        <x:v>Certification denial/revocation and marketing/import prohibition.</x:v>
      </x:c>
      <x:c r="M40" s="25" t="str">
        <x:v>Rules amended 2025; current eCFR checked 2026-09-09</x:v>
      </x:c>
      <x:c r="N40" s="25" t="str">
        <x:v>S048</x:v>
      </x:c>
      <x:c r="O40" s="25" t="str">
        <x:v>VERIFIED</x:v>
      </x:c>
      <x:c r="P40" s="25" t="str">
        <x:v>P1</x:v>
      </x:c>
      <x:c r="Q40" s="25" t="str">
        <x:v>A 2026 proposal would broaden supply-chain disclosures and add a US liable-party rule; it is not current law.</x:v>
      </x:c>
    </x:row>
    <x:row r="41" ht="74" customHeight="1">
      <x:c r="A41" s="25" t="str">
        <x:v>R-ELEC-014</x:v>
      </x:c>
      <x:c r="B41" s="25" t="str">
        <x:v>Small consumer electronics</x:v>
      </x:c>
      <x:c r="C41" s="25" t="str">
        <x:v>Amazon FCC radio-frequency-device listing attributes</x:v>
      </x:c>
      <x:c r="D41" s="25" t="str">
        <x:v>Platform rule</x:v>
      </x:c>
      <x:c r="E41" s="25" t="str">
        <x:v>Amazon listing is a radio-frequency device or could be interpreted as one, including Wi-Fi/Bluetooth/cellular products and many digital devices.</x:v>
      </x:c>
      <x:c r="F41" s="25" t="str">
        <x:v>Amazon US</x:v>
      </x:c>
      <x:c r="G41" s="25" t="str">
        <x:v>Amazon</x:v>
      </x:c>
      <x:c r="H41" s="25" t="str">
        <x:v>No separate platform test; Amazon validates submitted FCC authorization/responsible-party information against listing.</x:v>
      </x:c>
      <x:c r="I41" s="25" t="str">
        <x:v>FCC certification number where required, or US responsible-party contact for SDoC, or permitted declaration that authorization is not required.</x:v>
      </x:c>
      <x:c r="J41" s="25" t="str">
        <x:v>Complete FCC Radio Frequency Emission Compliance attribute accurately before listing.</x:v>
      </x:c>
      <x:c r="K41" s="25" t="str">
        <x:v>Listing field and supporting documents.</x:v>
      </x:c>
      <x:c r="L41" s="25" t="str">
        <x:v>Listing removal; noncompliant inventory cannot be offered.</x:v>
      </x:c>
      <x:c r="M41" s="25" t="str">
        <x:v>Enforcement announced effective 2022-03-07; checked 2026-09-09</x:v>
      </x:c>
      <x:c r="N41" s="25" t="str">
        <x:v>S031</x:v>
      </x:c>
      <x:c r="O41" s="25" t="str">
        <x:v>VERIFIED</x:v>
      </x:c>
      <x:c r="P41" s="25" t="str">
        <x:v>P0</x:v>
      </x:c>
      <x:c r="Q41" s="25" t="str">
        <x:v>The platform field does not determine federal authorization type.</x:v>
      </x:c>
    </x:row>
    <x:row r="42" ht="74" customHeight="1">
      <x:c r="A42" s="25" t="str">
        <x:v>R-ELEC-015</x:v>
      </x:c>
      <x:c r="B42" s="25" t="str">
        <x:v>Small consumer electronics</x:v>
      </x:c>
      <x:c r="C42" s="25" t="str">
        <x:v>Amazon rechargeable lithium-ion battery compliance verification</x:v>
      </x:c>
      <x:c r="D42" s="25" t="str">
        <x:v>Platform rule</x:v>
      </x:c>
      <x:c r="E42" s="25" t="str">
        <x:v>ASIN is a rechargeable lithium-ion/polymer/iron-phosphate battery, replacement pack, rechargeable coin cell, or covered product selected under Amazon's current battery policy.</x:v>
      </x:c>
      <x:c r="F42" s="25" t="str">
        <x:v>Amazon US</x:v>
      </x:c>
      <x:c r="G42" s="25" t="str">
        <x:v>Amazon</x:v>
      </x:c>
      <x:c r="H42" s="25" t="str">
        <x:v>Testing/document verification by an Amazon-approved provider; exact document set is product/configuration dependent.</x:v>
      </x:c>
      <x:c r="I42" s="25" t="str">
        <x:v>Provider-requested test reports and transport/safety evidence; listing battery attributes.</x:v>
      </x:c>
      <x:c r="J42" s="25" t="str">
        <x:v>Complete listing attributes, use approved provider, accept quote, submit samples/documents, and meet Account Health deadlines.</x:v>
      </x:c>
      <x:c r="K42" s="25" t="str">
        <x:v>Battery attributes and safety information.</x:v>
      </x:c>
      <x:c r="L42" s="25" t="str">
        <x:v>ASIN removal or Account Health impact.</x:v>
      </x:c>
      <x:c r="M42" s="25" t="str">
        <x:v>Official policy update 2026-05</x:v>
      </x:c>
      <x:c r="N42" s="25" t="str">
        <x:v>S032</x:v>
      </x:c>
      <x:c r="O42" s="25" t="str">
        <x:v>VERIFIED</x:v>
      </x:c>
      <x:c r="P42" s="25" t="str">
        <x:v>P0</x:v>
      </x:c>
      <x:c r="Q42" s="25" t="str">
        <x:v>Public policy confirms the workflow, but exact help-page document-age wording was not independently retrievable.</x:v>
      </x:c>
    </x:row>
    <x:row r="43" ht="74" customHeight="1">
      <x:c r="A43" s="25" t="str">
        <x:v>R-ELEC-016</x:v>
      </x:c>
      <x:c r="B43" s="25" t="str">
        <x:v>Small consumer electronics</x:v>
      </x:c>
      <x:c r="C43" s="25" t="str">
        <x:v>eBay electronic-equipment and product-safety restrictions</x:v>
      </x:c>
      <x:c r="D43" s="25" t="str">
        <x:v>Platform rule</x:v>
      </x:c>
      <x:c r="E43" s="25" t="str">
        <x:v>Device lacks required FCC authorization, is recalled/unsafe/prohibited, uses an easily accessible button cell, or matches another listed restriction such as loose 18650 cells.</x:v>
      </x:c>
      <x:c r="F43" s="25" t="str">
        <x:v>eBay US</x:v>
      </x:c>
      <x:c r="G43" s="25" t="str">
        <x:v>eBay</x:v>
      </x:c>
      <x:c r="H43" s="25" t="str">
        <x:v>Underlying FCC/CPSC/transport tests; listing review.</x:v>
      </x:c>
      <x:c r="I43" s="25" t="str">
        <x:v>FCC authorization evidence, product-safety documents, recall status.</x:v>
      </x:c>
      <x:c r="J43" s="25" t="str">
        <x:v>Do not list unauthorized or prohibited equipment; preinstall 18650 cells where eBay requires; monitor recalls.</x:v>
      </x:c>
      <x:c r="K43" s="25" t="str">
        <x:v>Accurate safety and authorization information.</x:v>
      </x:c>
      <x:c r="L43" s="25" t="str">
        <x:v>Listing removal, selling restrictions, account suspension.</x:v>
      </x:c>
      <x:c r="M43" s="25" t="str">
        <x:v>Policies checked 2026-09-09</x:v>
      </x:c>
      <x:c r="N43" s="25" t="str">
        <x:v>S033; S034</x:v>
      </x:c>
      <x:c r="O43" s="25" t="str">
        <x:v>VERIFIED</x:v>
      </x:c>
      <x:c r="P43" s="25" t="str">
        <x:v>P0</x:v>
      </x:c>
      <x:c r="Q43" s="25" t="str">
        <x:v>EU GPSR disclosure help is not a US requirement and is excluded from this US-only matrix.</x:v>
      </x:c>
    </x:row>
    <x:row r="44" ht="74" customHeight="1">
      <x:c r="A44" s="25" t="str">
        <x:v>R-ELEC-017</x:v>
      </x:c>
      <x:c r="B44" s="25" t="str">
        <x:v>Small consumer electronics</x:v>
      </x:c>
      <x:c r="C44" s="25" t="str">
        <x:v>Button/coin battery product performance and warnings</x:v>
      </x:c>
      <x:c r="D44" s="25" t="str">
        <x:v>Federal regulation adopting industry standard</x:v>
      </x:c>
      <x:c r="E44" s="25" t="str">
        <x:v>Non-toy consumer product contains or is designed to use a button/coin cell with diameter greater than height; zinc-air cells are excluded.</x:v>
      </x:c>
      <x:c r="F44" s="25" t="str">
        <x:v>USA</x:v>
      </x:c>
      <x:c r="G44" s="25" t="str">
        <x:v>CPSC</x:v>
      </x:c>
      <x:c r="H44" s="25" t="str">
        <x:v>ANSI/UL 4200A-2023 battery-compartment accessibility and use-and-abuse tests.</x:v>
      </x:c>
      <x:c r="I44" s="25" t="str">
        <x:v>GCC for non-children's products or CPC for children's products; test report; warning artwork.</x:v>
      </x:c>
      <x:c r="J44" s="25" t="str">
        <x:v>Secure compartment with a tool or two independent simultaneous actions; meet performance tests; issue certificate.</x:v>
      </x:c>
      <x:c r="K44" s="25" t="str">
        <x:v>Required product, packaging, and manual warnings; battery packaging has separate rules.</x:v>
      </x:c>
      <x:c r="L44" s="25" t="str">
        <x:v>Ingestion injury/death, recall, stop sale, platform prohibition.</x:v>
      </x:c>
      <x:c r="M44" s="25" t="str">
        <x:v>Product rule effective 2023-10-23; package-label phase effective 2024-09-21</x:v>
      </x:c>
      <x:c r="N44" s="25" t="str">
        <x:v>S013; S014; S037</x:v>
      </x:c>
      <x:c r="O44" s="25" t="str">
        <x:v>VERIFIED</x:v>
      </x:c>
      <x:c r="P44" s="25" t="str">
        <x:v>P0</x:v>
      </x:c>
      <x:c r="Q44" s="25" t="str">
        <x:v>Compliant toy products follow ASTM F963 instead; separately packaged batteries remain separately regulated.</x:v>
      </x:c>
    </x:row>
    <x:row r="45" ht="74" customHeight="1">
      <x:c r="A45" s="25" t="str">
        <x:v>R-ELEC-018</x:v>
      </x:c>
      <x:c r="B45" s="25" t="str">
        <x:v>Small consumer electronics</x:v>
      </x:c>
      <x:c r="C45" s="25" t="str">
        <x:v>Electrical fire and shock safety standards</x:v>
      </x:c>
      <x:c r="D45" s="25" t="str">
        <x:v>Industry standard / recommended practice</x:v>
      </x:c>
      <x:c r="E45" s="25" t="str">
        <x:v>Mains-powered, charging, or energy-containing product presents electrical/fire hazards or a retailer, insurer, procurement contract, code, or product-specific rule requires certification.</x:v>
      </x:c>
      <x:c r="F45" s="25" t="str">
        <x:v>USA</x:v>
      </x:c>
      <x:c r="G45" s="25" t="str">
        <x:v>UL Solutions / applicable NRTL or standard body</x:v>
      </x:c>
      <x:c r="H45" s="25" t="str">
        <x:v>Product-specific safety evaluation, often UL/CSA 62368-1 for audio/video/ICT equipment; battery cell/pack standards may also apply by product and contract.</x:v>
      </x:c>
      <x:c r="I45" s="25" t="str">
        <x:v>NRTL certification/report or engineering safety report when required by the applicable channel.</x:v>
      </x:c>
      <x:c r="J45" s="25" t="str">
        <x:v>Confirm the exact product standard and whether listing/certification is legally or contractually required; do not represent a universal federal UL mandate.</x:v>
      </x:c>
      <x:c r="K45" s="25" t="str">
        <x:v>Safety marks, ratings, cautions, and manual content under the selected standard.</x:v>
      </x:c>
      <x:c r="L45" s="25" t="str">
        <x:v>Fire/shock injury, recall, insurer/retailer rejection, product-liability exposure.</x:v>
      </x:c>
      <x:c r="M45" s="25" t="str">
        <x:v>Standard/service page checked 2026-09-09</x:v>
      </x:c>
      <x:c r="N45" s="25" t="str">
        <x:v>S045</x:v>
      </x:c>
      <x:c r="O45" s="25" t="str">
        <x:v>VERIFIED</x:v>
      </x:c>
      <x:c r="P45" s="25" t="str">
        <x:v>P1</x:v>
      </x:c>
      <x:c r="Q45" s="25" t="str">
        <x:v>No blanket federal UL-listing rule was verified for all small consumer electronics.</x:v>
      </x:c>
    </x:row>
    <x:row r="46" ht="74" customHeight="1">
      <x:c r="A46" s="26" t="str">
        <x:v>R-ELEC-019</x:v>
      </x:c>
      <x:c r="B46" s="26" t="str">
        <x:v>Small consumer electronics</x:v>
      </x:c>
      <x:c r="C46" s="26" t="str">
        <x:v>Proposed FCC 2026 supply-chain and US liable-party changes</x:v>
      </x:c>
      <x:c r="D46" s="26" t="str">
        <x:v>Proposed federal rule / watchlist</x:v>
      </x:c>
      <x:c r="E46" s="26" t="str">
        <x:v>Future certification/import workflows if FCC adopts proposals on HBOM/SBOM, SDoC registration, broader Covered List controls, or a US liable party for foreign grantees.</x:v>
      </x:c>
      <x:c r="F46" s="26" t="str">
        <x:v>USA</x:v>
      </x:c>
      <x:c r="G46" s="26" t="str">
        <x:v>FCC</x:v>
      </x:c>
      <x:c r="H46" s="26" t="str">
        <x:v>Not applicable unless and until finalized.</x:v>
      </x:c>
      <x:c r="I46" s="26" t="str">
        <x:v>Potential future HBOM/SBOM, producer disclosures, and US liable-party records.</x:v>
      </x:c>
      <x:c r="J46" s="26" t="str">
        <x:v>Monitor ET Docket 21-232; do not enforce in the MVP as current law.</x:v>
      </x:c>
      <x:c r="K46" s="26" t="str">
        <x:v>Potential future database and label controls.</x:v>
      </x:c>
      <x:c r="L46" s="26" t="str">
        <x:v>False positive if treated as law; update risk if ignored after a final rule.</x:v>
      </x:c>
      <x:c r="M46" s="26" t="str">
        <x:v>Proposed 2026-08-07; comments closed 2026-09-08, replies due 2026-09-21</x:v>
      </x:c>
      <x:c r="N46" s="26" t="str">
        <x:v>S046</x:v>
      </x:c>
      <x:c r="O46" s="26" t="str">
        <x:v>VERIFIED</x:v>
      </x:c>
      <x:c r="P46" s="26" t="str">
        <x:v>P1</x:v>
      </x:c>
      <x:c r="Q46" s="26" t="str">
        <x:v>Verification status means the proposal exists; requirement status is proposed, not effective.</x:v>
      </x:c>
    </x:row>
  </x:sheetData>
  <x:conditionalFormatting sqref="O6:O46">
    <x:cfRule type="containsText" dxfId="4" priority="1" operator="containsText" text="VERIFIED"/>
    <x:cfRule type="containsText" dxfId="5" priority="2" operator="containsText" text="UNVERIFIED"/>
    <x:cfRule type="containsText" dxfId="6" priority="3" operator="containsText" text="CONFLICT"/>
    <x:cfRule type="containsText" dxfId="7" priority="4" operator="containsText" text="NOT FOUND"/>
  </x:conditionalFormatting>
  <x:dataValidations count="1">
    <x:dataValidation type="list" sqref="O6:O46">
      <x:formula1>"VERIFIED,UNVERIFIED,CONFLICT,NOT FOUND"</x:formula1>
    </x:dataValidation>
  </x:dataValidations>
  <x:pageMargins left="0.7" right="0.7" top="0.75" bottom="0.75" header="0.3" footer="0.3"/>
  <x:tableParts count="1">
    <x:tablePart xmlns:r="http://schemas.openxmlformats.org/officeDocument/2006/relationships" r:id="Rb5bf1f6b8ebe4d07"/>
  </x:tableParts>
</x:worksheet>
</file>

<file path=xl/worksheets/sheet4.xml><?xml version="1.0" encoding="utf-8"?>
<x:worksheet xmlns:x="http://schemas.openxmlformats.org/spreadsheetml/2006/main">
  <x:sheetPr>
    <x:tabColor rgb="FF487A97"/>
  </x:sheetPr>
  <x:sheetViews>
    <x:sheetView showGridLines="0" workbookViewId="0">
      <x:pane xSplit="1" ySplit="5" topLeftCell="B6" activePane="bottomRight" state="frozen"/>
    </x:sheetView>
  </x:sheetViews>
  <x:sheetFormatPr defaultRowHeight="15"/>
  <x:cols>
    <x:col min="1" max="1" width="12" hidden="0" customWidth="1"/>
    <x:col min="2" max="2" width="28" hidden="0" customWidth="1"/>
    <x:col min="3" max="3" width="44" hidden="0" customWidth="1"/>
    <x:col min="4" max="4" width="64" hidden="0" customWidth="1"/>
    <x:col min="5" max="5" width="25" hidden="0" customWidth="1"/>
    <x:col min="6" max="6" width="12" hidden="0" customWidth="1"/>
    <x:col min="7" max="7" width="18" hidden="0" customWidth="1"/>
    <x:col min="8" max="8" width="32" hidden="0" customWidth="1"/>
    <x:col min="9" max="9" width="18" hidden="0" customWidth="1"/>
    <x:col min="10" max="10" width="25" hidden="0" customWidth="1"/>
    <x:col min="11" max="11" width="58" hidden="0" customWidth="1"/>
    <x:col min="12" max="12" width="18" hidden="0" customWidth="1"/>
  </x:cols>
  <x:sheetData>
    <x:row r="2">
      <x:c r="A2" s="1" t="str">
        <x:v>Source registry</x:v>
      </x:c>
    </x:row>
    <x:row r="3">
      <x:c r="A3" s="2" t="str">
        <x:v>Canonical URLs are retained for later human-triggered update checks. Search-result snippets were not used as evidence.</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source_id</x:v>
      </x:c>
      <x:c r="B5" s="20" t="str">
        <x:v>authority</x:v>
      </x:c>
      <x:c r="C5" s="20" t="str">
        <x:v>page_document_title</x:v>
      </x:c>
      <x:c r="D5" s="20" t="str">
        <x:v>canonical_url</x:v>
      </x:c>
      <x:c r="E5" s="20" t="str">
        <x:v>source_type</x:v>
      </x:c>
      <x:c r="F5" s="20" t="str">
        <x:v>tier</x:v>
      </x:c>
      <x:c r="G5" s="20" t="str">
        <x:v>jurisdiction</x:v>
      </x:c>
      <x:c r="H5" s="20" t="str">
        <x:v>topics</x:v>
      </x:c>
      <x:c r="I5" s="20" t="str">
        <x:v>access_check_date</x:v>
      </x:c>
      <x:c r="J5" s="20" t="str">
        <x:v>effective_update_date</x:v>
      </x:c>
      <x:c r="K5" s="20" t="str">
        <x:v>short_supporting_evidence</x:v>
      </x:c>
      <x:c r="L5" s="20" t="str">
        <x:v>verification_status</x:v>
      </x:c>
    </x:row>
    <x:row r="6" ht="54" customHeight="1">
      <x:c r="A6" s="24" t="str">
        <x:v>S001</x:v>
      </x:c>
      <x:c r="B6" s="24" t="str">
        <x:v>U.S. Consumer Product Safety Commission</x:v>
      </x:c>
      <x:c r="C6" s="24" t="str">
        <x:v>Toy Safety Business Guidance</x:v>
      </x:c>
      <x:c r="D6" s="24" t="str">
        <x:v>https://www.cpsc.gov/Business--Manufacturing/Business-Education/Toy-Safety</x:v>
      </x:c>
      <x:c r="E6" s="24" t="str">
        <x:v>Government guidance</x:v>
      </x:c>
      <x:c r="F6" s="24" t="str">
        <x:v>Tier 1</x:v>
      </x:c>
      <x:c r="G6" s="24" t="str">
        <x:v>USA federal</x:v>
      </x:c>
      <x:c r="H6" s="24" t="str">
        <x:v>toy scope; ASTM F963; CPC</x:v>
      </x:c>
      <x:c r="I6" s="24" t="str">
        <x:v>2026-09-09</x:v>
      </x:c>
      <x:c r="J6" s="24" t="str">
        <x:v>Current page</x:v>
      </x:c>
      <x:c r="K6" s="24" t="str">
        <x:v>Defines toys and distinguishes under-14 F963 scope from children's-product testing for age 12 and under.</x:v>
      </x:c>
      <x:c r="L6" s="24" t="str">
        <x:v>VERIFIED</x:v>
      </x:c>
    </x:row>
    <x:row r="7" ht="54" customHeight="1">
      <x:c r="A7" s="25" t="str">
        <x:v>S002</x:v>
      </x:c>
      <x:c r="B7" s="25" t="str">
        <x:v>Electronic Code of Federal Regulations</x:v>
      </x:c>
      <x:c r="C7" s="25" t="str">
        <x:v>16 CFR Part 1250 Safety Standard Mandating ASTM F963 for Toys</x:v>
      </x:c>
      <x:c r="D7" s="25" t="str">
        <x:v>https://www.ecfr.gov/current/title-16/chapter-II/subchapter-B/part-1250</x:v>
      </x:c>
      <x:c r="E7" s="25" t="str">
        <x:v>Regulation</x:v>
      </x:c>
      <x:c r="F7" s="25" t="str">
        <x:v>Tier 1</x:v>
      </x:c>
      <x:c r="G7" s="25" t="str">
        <x:v>USA federal</x:v>
      </x:c>
      <x:c r="H7" s="25" t="str">
        <x:v>ASTM F963-23; toy standard; water beads; neck floats</x:v>
      </x:c>
      <x:c r="I7" s="25" t="str">
        <x:v>2026-09-09</x:v>
      </x:c>
      <x:c r="J7" s="25" t="str">
        <x:v>Up to date 2026-09-04</x:v>
      </x:c>
      <x:c r="K7" s="25" t="str">
        <x:v>Requires each toy to meet applicable ASTM F963-23 provisions and contains current specialty rules.</x:v>
      </x:c>
      <x:c r="L7" s="25" t="str">
        <x:v>VERIFIED</x:v>
      </x:c>
    </x:row>
    <x:row r="8" ht="54" customHeight="1">
      <x:c r="A8" s="25" t="str">
        <x:v>S003</x:v>
      </x:c>
      <x:c r="B8" s="25" t="str">
        <x:v>U.S. Consumer Product Safety Commission</x:v>
      </x:c>
      <x:c r="C8" s="25" t="str">
        <x:v>ASTM F963 Mandatory Third Party Testing Chart</x:v>
      </x:c>
      <x:c r="D8" s="25" t="str">
        <x:v>https://www.cpsc.gov/Business--Manufacturing/Business-Education/Toy-Safety/ASTM-F-963-Chart</x:v>
      </x:c>
      <x:c r="E8" s="25" t="str">
        <x:v>Government guidance</x:v>
      </x:c>
      <x:c r="F8" s="25" t="str">
        <x:v>Tier 1</x:v>
      </x:c>
      <x:c r="G8" s="25" t="str">
        <x:v>USA federal</x:v>
      </x:c>
      <x:c r="H8" s="25" t="str">
        <x:v>F963 sections; third-party testing</x:v>
      </x:c>
      <x:c r="I8" s="25" t="str">
        <x:v>2026-09-09</x:v>
      </x:c>
      <x:c r="J8" s="25" t="str">
        <x:v>Current page</x:v>
      </x:c>
      <x:c r="K8" s="25" t="str">
        <x:v>Maps common ASTM sections to applicability and third-party testing status.</x:v>
      </x:c>
      <x:c r="L8" s="25" t="str">
        <x:v>VERIFIED</x:v>
      </x:c>
    </x:row>
    <x:row r="9" ht="54" customHeight="1">
      <x:c r="A9" s="25" t="str">
        <x:v>S004</x:v>
      </x:c>
      <x:c r="B9" s="25" t="str">
        <x:v>U.S. Consumer Product Safety Commission</x:v>
      </x:c>
      <x:c r="C9" s="25" t="str">
        <x:v>Children's Product Certificate</x:v>
      </x:c>
      <x:c r="D9" s="25" t="str">
        <x:v>https://www.cpsc.gov/Business--Manufacturing/Testing-Certification/Childrens-Product-Certificate</x:v>
      </x:c>
      <x:c r="E9" s="25" t="str">
        <x:v>Government guidance</x:v>
      </x:c>
      <x:c r="F9" s="25" t="str">
        <x:v>Tier 1</x:v>
      </x:c>
      <x:c r="G9" s="25" t="str">
        <x:v>USA federal</x:v>
      </x:c>
      <x:c r="H9" s="25" t="str">
        <x:v>CPC; importer; certificate elements</x:v>
      </x:c>
      <x:c r="I9" s="25" t="str">
        <x:v>2026-09-09</x:v>
      </x:c>
      <x:c r="J9" s="25" t="str">
        <x:v>Current page</x:v>
      </x:c>
      <x:c r="K9" s="25" t="str">
        <x:v>Importer or domestic manufacturer issues an English CPC based on CPSC-accepted third-party tests and includes seven data elements.</x:v>
      </x:c>
      <x:c r="L9" s="25" t="str">
        <x:v>VERIFIED</x:v>
      </x:c>
    </x:row>
    <x:row r="10" ht="54" customHeight="1">
      <x:c r="A10" s="25" t="str">
        <x:v>S005</x:v>
      </x:c>
      <x:c r="B10" s="25" t="str">
        <x:v>Electronic Code of Federal Regulations</x:v>
      </x:c>
      <x:c r="C10" s="25" t="str">
        <x:v>16 CFR 1112.15 Rules and Test Methods Eligible for CPSC Acceptance</x:v>
      </x:c>
      <x:c r="D10" s="25" t="str">
        <x:v>https://www.ecfr.gov/current/title-16/chapter-II/subchapter-B/part-1112/subpart-B/section-1112.15</x:v>
      </x:c>
      <x:c r="E10" s="25" t="str">
        <x:v>Regulation</x:v>
      </x:c>
      <x:c r="F10" s="25" t="str">
        <x:v>Tier 1</x:v>
      </x:c>
      <x:c r="G10" s="25" t="str">
        <x:v>USA federal</x:v>
      </x:c>
      <x:c r="H10" s="25" t="str">
        <x:v>accepted laboratories; test methods; F963 sections</x:v>
      </x:c>
      <x:c r="I10" s="25" t="str">
        <x:v>2026-09-09</x:v>
      </x:c>
      <x:c r="J10" s="25" t="str">
        <x:v>Up to date 2026-09-04</x:v>
      </x:c>
      <x:c r="K10" s="25" t="str">
        <x:v>Lists accepted test methods and the specific F963-23 sections subject to third-party testing.</x:v>
      </x:c>
      <x:c r="L10" s="25" t="str">
        <x:v>VERIFIED</x:v>
      </x:c>
    </x:row>
    <x:row r="11" ht="54" customHeight="1">
      <x:c r="A11" s="25" t="str">
        <x:v>S006</x:v>
      </x:c>
      <x:c r="B11" s="25" t="str">
        <x:v>U.S. Consumer Product Safety Commission</x:v>
      </x:c>
      <x:c r="C11" s="25" t="str">
        <x:v>Children's Products</x:v>
      </x:c>
      <x:c r="D11" s="25" t="str">
        <x:v>https://www.cpsc.gov/Business--Manufacturing/Business-Education/Childrens-Products</x:v>
      </x:c>
      <x:c r="E11" s="25" t="str">
        <x:v>Government guidance</x:v>
      </x:c>
      <x:c r="F11" s="25" t="str">
        <x:v>Tier 1</x:v>
      </x:c>
      <x:c r="G11" s="25" t="str">
        <x:v>USA federal</x:v>
      </x:c>
      <x:c r="H11" s="25" t="str">
        <x:v>classification; electronics; age 12</x:v>
      </x:c>
      <x:c r="I11" s="25" t="str">
        <x:v>2026-09-09</x:v>
      </x:c>
      <x:c r="J11" s="25" t="str">
        <x:v>Current page</x:v>
      </x:c>
      <x:c r="K11" s="25" t="str">
        <x:v>Explains the four-factor children's-product test and why some child-themed electronics are children's products.</x:v>
      </x:c>
      <x:c r="L11" s="25" t="str">
        <x:v>VERIFIED</x:v>
      </x:c>
    </x:row>
    <x:row r="12" ht="54" customHeight="1">
      <x:c r="A12" s="25" t="str">
        <x:v>S007</x:v>
      </x:c>
      <x:c r="B12" s="25" t="str">
        <x:v>U.S. Consumer Product Safety Commission</x:v>
      </x:c>
      <x:c r="C12" s="25" t="str">
        <x:v>Total Lead Content Business Guidance</x:v>
      </x:c>
      <x:c r="D12" s="25" t="str">
        <x:v>https://www.cpsc.gov/Business--Manufacturing/Business-Education/Lead/Total-Lead-Content</x:v>
      </x:c>
      <x:c r="E12" s="25" t="str">
        <x:v>Government guidance</x:v>
      </x:c>
      <x:c r="F12" s="25" t="str">
        <x:v>Tier 1</x:v>
      </x:c>
      <x:c r="G12" s="25" t="str">
        <x:v>USA federal</x:v>
      </x:c>
      <x:c r="H12" s="25" t="str">
        <x:v>lead 100 ppm; accessible components; material determinations</x:v>
      </x:c>
      <x:c r="I12" s="25" t="str">
        <x:v>2026-09-09</x:v>
      </x:c>
      <x:c r="J12" s="25" t="str">
        <x:v>Current page</x:v>
      </x:c>
      <x:c r="K12" s="25" t="str">
        <x:v>States the 100 ppm accessible-component limit and describes testing determinations and exceptions.</x:v>
      </x:c>
      <x:c r="L12" s="25" t="str">
        <x:v>VERIFIED</x:v>
      </x:c>
    </x:row>
    <x:row r="13" ht="54" customHeight="1">
      <x:c r="A13" s="25" t="str">
        <x:v>S008</x:v>
      </x:c>
      <x:c r="B13" s="25" t="str">
        <x:v>U.S. Consumer Product Safety Commission</x:v>
      </x:c>
      <x:c r="C13" s="25" t="str">
        <x:v>Lead in Paint Business Guidance</x:v>
      </x:c>
      <x:c r="D13" s="25" t="str">
        <x:v>https://www.cpsc.gov/Business--Manufacturing/Business-Education/Lead/Lead-in-Paint</x:v>
      </x:c>
      <x:c r="E13" s="25" t="str">
        <x:v>Government guidance</x:v>
      </x:c>
      <x:c r="F13" s="25" t="str">
        <x:v>Tier 1</x:v>
      </x:c>
      <x:c r="G13" s="25" t="str">
        <x:v>USA federal</x:v>
      </x:c>
      <x:c r="H13" s="25" t="str">
        <x:v>lead paint 90 ppm; surface coatings</x:v>
      </x:c>
      <x:c r="I13" s="25" t="str">
        <x:v>2026-09-09</x:v>
      </x:c>
      <x:c r="J13" s="25" t="str">
        <x:v>Current page</x:v>
      </x:c>
      <x:c r="K13" s="25" t="str">
        <x:v>States the 0.009 percent/90 ppm limit and explains what is and is not a surface coating.</x:v>
      </x:c>
      <x:c r="L13" s="25" t="str">
        <x:v>VERIFIED</x:v>
      </x:c>
    </x:row>
    <x:row r="14" ht="54" customHeight="1">
      <x:c r="A14" s="25" t="str">
        <x:v>S009</x:v>
      </x:c>
      <x:c r="B14" s="25" t="str">
        <x:v>U.S. Consumer Product Safety Commission</x:v>
      </x:c>
      <x:c r="C14" s="25" t="str">
        <x:v>Phthalates Business Guidance</x:v>
      </x:c>
      <x:c r="D14" s="25" t="str">
        <x:v>https://www.cpsc.gov/Business--Manufacturing/Business-Education/Business-Guidance/Phthalates</x:v>
      </x:c>
      <x:c r="E14" s="25" t="str">
        <x:v>Government guidance</x:v>
      </x:c>
      <x:c r="F14" s="25" t="str">
        <x:v>Tier 1</x:v>
      </x:c>
      <x:c r="G14" s="25" t="str">
        <x:v>USA federal</x:v>
      </x:c>
      <x:c r="H14" s="25" t="str">
        <x:v>phthalates; plasticized components</x:v>
      </x:c>
      <x:c r="I14" s="25" t="str">
        <x:v>2026-09-09</x:v>
      </x:c>
      <x:c r="J14" s="25" t="str">
        <x:v>Current page</x:v>
      </x:c>
      <x:c r="K14" s="25" t="str">
        <x:v>Identifies eight restricted phthalates at 0.1 percent in accessible plasticized components and material determinations.</x:v>
      </x:c>
      <x:c r="L14" s="25" t="str">
        <x:v>VERIFIED</x:v>
      </x:c>
    </x:row>
    <x:row r="15" ht="54" customHeight="1">
      <x:c r="A15" s="25" t="str">
        <x:v>S010</x:v>
      </x:c>
      <x:c r="B15" s="25" t="str">
        <x:v>U.S. Consumer Product Safety Commission</x:v>
      </x:c>
      <x:c r="C15" s="25" t="str">
        <x:v>Small Parts for Toys and Children's Products</x:v>
      </x:c>
      <x:c r="D15" s="25" t="str">
        <x:v>https://www.cpsc.gov/Business--Manufacturing/Business-Education/Business-Guidance/Small-Parts-for-Toys-and-Childrens-Products</x:v>
      </x:c>
      <x:c r="E15" s="25" t="str">
        <x:v>Government guidance</x:v>
      </x:c>
      <x:c r="F15" s="25" t="str">
        <x:v>Tier 1</x:v>
      </x:c>
      <x:c r="G15" s="25" t="str">
        <x:v>USA federal</x:v>
      </x:c>
      <x:c r="H15" s="25" t="str">
        <x:v>small parts; choking; warnings</x:v>
      </x:c>
      <x:c r="I15" s="25" t="str">
        <x:v>2026-09-09</x:v>
      </x:c>
      <x:c r="J15" s="25" t="str">
        <x:v>Current page</x:v>
      </x:c>
      <x:c r="K15" s="25" t="str">
        <x:v>Distinguishes the under-three small-parts ban from warnings for certain products intended for ages three through five.</x:v>
      </x:c>
      <x:c r="L15" s="25" t="str">
        <x:v>VERIFIED</x:v>
      </x:c>
    </x:row>
    <x:row r="16" ht="54" customHeight="1">
      <x:c r="A16" s="25" t="str">
        <x:v>S011</x:v>
      </x:c>
      <x:c r="B16" s="25" t="str">
        <x:v>U.S. Consumer Product Safety Commission</x:v>
      </x:c>
      <x:c r="C16" s="25" t="str">
        <x:v>Tracking Label Requirement for Children's Products</x:v>
      </x:c>
      <x:c r="D16" s="25" t="str">
        <x:v>https://www.cpsc.gov/Business--Manufacturing/Business-Education/tracking-label</x:v>
      </x:c>
      <x:c r="E16" s="25" t="str">
        <x:v>Government guidance</x:v>
      </x:c>
      <x:c r="F16" s="25" t="str">
        <x:v>Tier 1</x:v>
      </x:c>
      <x:c r="G16" s="25" t="str">
        <x:v>USA federal</x:v>
      </x:c>
      <x:c r="H16" s="25" t="str">
        <x:v>tracking labels; traceability</x:v>
      </x:c>
      <x:c r="I16" s="25" t="str">
        <x:v>2026-09-09</x:v>
      </x:c>
      <x:c r="J16" s="25" t="str">
        <x:v>Current page</x:v>
      </x:c>
      <x:c r="K16" s="25" t="str">
        <x:v>Requires permanent distinguishing marks on children's products and packaging where practicable.</x:v>
      </x:c>
      <x:c r="L16" s="25" t="str">
        <x:v>VERIFIED</x:v>
      </x:c>
    </x:row>
    <x:row r="17" ht="54" customHeight="1">
      <x:c r="A17" s="25" t="str">
        <x:v>S012</x:v>
      </x:c>
      <x:c r="B17" s="25" t="str">
        <x:v>Electronic Code of Federal Regulations</x:v>
      </x:c>
      <x:c r="C17" s="25" t="str">
        <x:v>16 CFR Part 1505 Electrically Operated Toys</x:v>
      </x:c>
      <x:c r="D17" s="25" t="str">
        <x:v>https://www.ecfr.gov/current/title-16/chapter-II/subchapter-C/part-1505</x:v>
      </x:c>
      <x:c r="E17" s="25" t="str">
        <x:v>Regulation</x:v>
      </x:c>
      <x:c r="F17" s="25" t="str">
        <x:v>Tier 1</x:v>
      </x:c>
      <x:c r="G17" s="25" t="str">
        <x:v>USA federal</x:v>
      </x:c>
      <x:c r="H17" s="25" t="str">
        <x:v>electric toys; 120 V; labels; instructions</x:v>
      </x:c>
      <x:c r="I17" s="25" t="str">
        <x:v>2026-09-09</x:v>
      </x:c>
      <x:c r="J17" s="25" t="str">
        <x:v>Up to date 2026-09-04</x:v>
      </x:c>
      <x:c r="K17" s="25" t="str">
        <x:v>Defines covered household-circuit-powered children's articles and states labeling and instruction duties.</x:v>
      </x:c>
      <x:c r="L17" s="25" t="str">
        <x:v>VERIFIED</x:v>
      </x:c>
    </x:row>
    <x:row r="18" ht="54" customHeight="1">
      <x:c r="A18" s="25" t="str">
        <x:v>S013</x:v>
      </x:c>
      <x:c r="B18" s="25" t="str">
        <x:v>U.S. Consumer Product Safety Commission</x:v>
      </x:c>
      <x:c r="C18" s="25" t="str">
        <x:v>Button Cell and Coin Battery Business Guidance</x:v>
      </x:c>
      <x:c r="D18" s="25" t="str">
        <x:v>https://www.cpsc.gov/Business--Manufacturing/Business-Education/Business-Guidance/Button-Cell-and-Coin-Battery</x:v>
      </x:c>
      <x:c r="E18" s="25" t="str">
        <x:v>Government guidance</x:v>
      </x:c>
      <x:c r="F18" s="25" t="str">
        <x:v>Tier 1</x:v>
      </x:c>
      <x:c r="G18" s="25" t="str">
        <x:v>USA federal</x:v>
      </x:c>
      <x:c r="H18" s="25" t="str">
        <x:v>Reese's Law; UL 4200A; toy exemption; packaging</x:v>
      </x:c>
      <x:c r="I18" s="25" t="str">
        <x:v>2026-09-09</x:v>
      </x:c>
      <x:c r="J18" s="25" t="str">
        <x:v>Current page</x:v>
      </x:c>
      <x:c r="K18" s="25" t="str">
        <x:v>Explains compartment, use-and-abuse, warning, certification, toy-exemption, and separate-battery-package requirements.</x:v>
      </x:c>
      <x:c r="L18" s="25" t="str">
        <x:v>VERIFIED</x:v>
      </x:c>
    </x:row>
    <x:row r="19" ht="54" customHeight="1">
      <x:c r="A19" s="25" t="str">
        <x:v>S014</x:v>
      </x:c>
      <x:c r="B19" s="25" t="str">
        <x:v>Electronic Code of Federal Regulations</x:v>
      </x:c>
      <x:c r="C19" s="25" t="str">
        <x:v>16 CFR Part 1263 Button Cell or Coin Batteries and Consumer Products</x:v>
      </x:c>
      <x:c r="D19" s="25" t="str">
        <x:v>https://www.ecfr.gov/current/title-16/chapter-II/subchapter-B/part-1263</x:v>
      </x:c>
      <x:c r="E19" s="25" t="str">
        <x:v>Regulation</x:v>
      </x:c>
      <x:c r="F19" s="25" t="str">
        <x:v>Tier 1</x:v>
      </x:c>
      <x:c r="G19" s="25" t="str">
        <x:v>USA federal</x:v>
      </x:c>
      <x:c r="H19" s="25" t="str">
        <x:v>button cells; UL 4200A; warnings</x:v>
      </x:c>
      <x:c r="I19" s="25" t="str">
        <x:v>2026-09-09</x:v>
      </x:c>
      <x:c r="J19" s="25" t="str">
        <x:v>Up to date 2026-09-04</x:v>
      </x:c>
      <x:c r="K19" s="25" t="str">
        <x:v>Incorporates UL 4200A-2023 and prescribes product, packaging, and instruction warning requirements with toy and zinc-air exclusions.</x:v>
      </x:c>
      <x:c r="L19" s="25" t="str">
        <x:v>VERIFIED</x:v>
      </x:c>
    </x:row>
    <x:row r="20" ht="54" customHeight="1">
      <x:c r="A20" s="25" t="str">
        <x:v>S015</x:v>
      </x:c>
      <x:c r="B20" s="25" t="str">
        <x:v>U.S. Consumer Product Safety Commission</x:v>
      </x:c>
      <x:c r="C20" s="25" t="str">
        <x:v>Magnets Business Guidance</x:v>
      </x:c>
      <x:c r="D20" s="25" t="str">
        <x:v>https://www.cpsc.gov/Business--Manufacturing/Business-Education/Business-Guidance/Magnets</x:v>
      </x:c>
      <x:c r="E20" s="25" t="str">
        <x:v>Government guidance</x:v>
      </x:c>
      <x:c r="F20" s="25" t="str">
        <x:v>Tier 1</x:v>
      </x:c>
      <x:c r="G20" s="25" t="str">
        <x:v>USA federal</x:v>
      </x:c>
      <x:c r="H20" s="25" t="str">
        <x:v>magnets; flux index; toy exemption</x:v>
      </x:c>
      <x:c r="I20" s="25" t="str">
        <x:v>2026-09-09</x:v>
      </x:c>
      <x:c r="J20" s="25" t="str">
        <x:v>Current page</x:v>
      </x:c>
      <x:c r="K20" s="25" t="str">
        <x:v>Explains the general magnet rule and its exemption for toys compliant with part 1250.</x:v>
      </x:c>
      <x:c r="L20" s="25" t="str">
        <x:v>VERIFIED</x:v>
      </x:c>
    </x:row>
    <x:row r="21" ht="54" customHeight="1">
      <x:c r="A21" s="25" t="str">
        <x:v>S016</x:v>
      </x:c>
      <x:c r="B21" s="25" t="str">
        <x:v>Electronic Code of Federal Regulations</x:v>
      </x:c>
      <x:c r="C21" s="25" t="str">
        <x:v>16 CFR 1250.4 Requirements for Water Beads</x:v>
      </x:c>
      <x:c r="D21" s="25" t="str">
        <x:v>https://www.ecfr.gov/current/title-16/chapter-II/subchapter-B/part-1250/section-1250.4</x:v>
      </x:c>
      <x:c r="E21" s="25" t="str">
        <x:v>Regulation</x:v>
      </x:c>
      <x:c r="F21" s="25" t="str">
        <x:v>Tier 1</x:v>
      </x:c>
      <x:c r="G21" s="25" t="str">
        <x:v>USA federal</x:v>
      </x:c>
      <x:c r="H21" s="25" t="str">
        <x:v>water beads; acrylamide; warnings</x:v>
      </x:c>
      <x:c r="I21" s="25" t="str">
        <x:v>2026-09-09</x:v>
      </x:c>
      <x:c r="J21" s="25" t="str">
        <x:v>Effective 2026-03-12</x:v>
      </x:c>
      <x:c r="K21" s="25" t="str">
        <x:v>Sets size-passage, expansion, 325 microgram extractable-acrylamide, warning, and instruction requirements.</x:v>
      </x:c>
      <x:c r="L21" s="25" t="str">
        <x:v>VERIFIED</x:v>
      </x:c>
    </x:row>
    <x:row r="22" ht="54" customHeight="1">
      <x:c r="A22" s="25" t="str">
        <x:v>S017</x:v>
      </x:c>
      <x:c r="B22" s="25" t="str">
        <x:v>Electronic Code of Federal Regulations</x:v>
      </x:c>
      <x:c r="C22" s="25" t="str">
        <x:v>16 CFR 1250.5 Requirements for Neck Floats</x:v>
      </x:c>
      <x:c r="D22" s="25" t="str">
        <x:v>https://www.ecfr.gov/current/title-16/chapter-II/subchapter-B/part-1250/section-1250.5</x:v>
      </x:c>
      <x:c r="E22" s="25" t="str">
        <x:v>Regulation</x:v>
      </x:c>
      <x:c r="F22" s="25" t="str">
        <x:v>Tier 1</x:v>
      </x:c>
      <x:c r="G22" s="25" t="str">
        <x:v>USA federal</x:v>
      </x:c>
      <x:c r="H22" s="25" t="str">
        <x:v>neck floats; drowning; labeling</x:v>
      </x:c>
      <x:c r="I22" s="25" t="str">
        <x:v>2026-09-09</x:v>
      </x:c>
      <x:c r="J22" s="25" t="str">
        <x:v>Effective 2026-06-15</x:v>
      </x:c>
      <x:c r="K22" s="25" t="str">
        <x:v>Defines covered neck floats and prescribes conditioning, buoyancy, restraint, neck-opening, warning, and instruction requirements.</x:v>
      </x:c>
      <x:c r="L22" s="25" t="str">
        <x:v>VERIFIED</x:v>
      </x:c>
    </x:row>
    <x:row r="23" ht="54" customHeight="1">
      <x:c r="A23" s="25" t="str">
        <x:v>S018</x:v>
      </x:c>
      <x:c r="B23" s="25" t="str">
        <x:v>Federal Register</x:v>
      </x:c>
      <x:c r="C23" s="25" t="str">
        <x:v>Safety Standard Mandating ASTM F963 for Toys</x:v>
      </x:c>
      <x:c r="D23" s="25" t="str">
        <x:v>https://www.federalregister.gov/documents/2024/01/18/2024-00741/safety-standard-mandating-astm-f963-for-toys</x:v>
      </x:c>
      <x:c r="E23" s="25" t="str">
        <x:v>Final rule notice</x:v>
      </x:c>
      <x:c r="F23" s="25" t="str">
        <x:v>Tier 1</x:v>
      </x:c>
      <x:c r="G23" s="25" t="str">
        <x:v>USA federal</x:v>
      </x:c>
      <x:c r="H23" s="25" t="str">
        <x:v>ASTM F963-23; effective date; reports</x:v>
      </x:c>
      <x:c r="I23" s="25" t="str">
        <x:v>2026-09-09</x:v>
      </x:c>
      <x:c r="J23" s="25" t="str">
        <x:v>Effective 2024-04-20</x:v>
      </x:c>
      <x:c r="K23" s="25" t="str">
        <x:v>Confirms F963-23 effective date and requires lab reports to identify F963-23 and specific tested sections.</x:v>
      </x:c>
      <x:c r="L23" s="25" t="str">
        <x:v>VERIFIED</x:v>
      </x:c>
    </x:row>
    <x:row r="24" ht="54" customHeight="1">
      <x:c r="A24" s="25" t="str">
        <x:v>S019</x:v>
      </x:c>
      <x:c r="B24" s="25" t="str">
        <x:v>Electronic Code of Federal Regulations</x:v>
      </x:c>
      <x:c r="C24" s="25" t="str">
        <x:v>47 CFR 15.201 Equipment Authorization Requirement for Intentional Radiators</x:v>
      </x:c>
      <x:c r="D24" s="25" t="str">
        <x:v>https://www.ecfr.gov/current/title-47/chapter-I/subchapter-A/part-15/subpart-C/section-15.201</x:v>
      </x:c>
      <x:c r="E24" s="25" t="str">
        <x:v>Regulation</x:v>
      </x:c>
      <x:c r="F24" s="25" t="str">
        <x:v>Tier 1</x:v>
      </x:c>
      <x:c r="G24" s="25" t="str">
        <x:v>USA federal</x:v>
      </x:c>
      <x:c r="H24" s="25" t="str">
        <x:v>intentional radiator; certification</x:v>
      </x:c>
      <x:c r="I24" s="25" t="str">
        <x:v>2026-09-09</x:v>
      </x:c>
      <x:c r="J24" s="25" t="str">
        <x:v>Current eCFR</x:v>
      </x:c>
      <x:c r="K24" s="25" t="str">
        <x:v>Requires certification of intentional radiators before marketing except narrow listed exceptions.</x:v>
      </x:c>
      <x:c r="L24" s="25" t="str">
        <x:v>VERIFIED</x:v>
      </x:c>
    </x:row>
    <x:row r="25" ht="54" customHeight="1">
      <x:c r="A25" s="25" t="str">
        <x:v>S020</x:v>
      </x:c>
      <x:c r="B25" s="25" t="str">
        <x:v>Electronic Code of Federal Regulations</x:v>
      </x:c>
      <x:c r="C25" s="25" t="str">
        <x:v>47 CFR Part 15 Subpart B Unintentional Radiators</x:v>
      </x:c>
      <x:c r="D25" s="25" t="str">
        <x:v>https://www.ecfr.gov/current/title-47/chapter-I/subchapter-A/part-15/subpart-B</x:v>
      </x:c>
      <x:c r="E25" s="25" t="str">
        <x:v>Regulation</x:v>
      </x:c>
      <x:c r="F25" s="25" t="str">
        <x:v>Tier 1</x:v>
      </x:c>
      <x:c r="G25" s="25" t="str">
        <x:v>USA federal</x:v>
      </x:c>
      <x:c r="H25" s="25" t="str">
        <x:v>digital devices; SDoC; exemptions; emissions</x:v>
      </x:c>
      <x:c r="I25" s="25" t="str">
        <x:v>2026-09-09</x:v>
      </x:c>
      <x:c r="J25" s="25" t="str">
        <x:v>Current eCFR</x:v>
      </x:c>
      <x:c r="K25" s="25" t="str">
        <x:v>Sets authorization procedures, exemptions, and conducted/radiated emission duties for unintentional radiators.</x:v>
      </x:c>
      <x:c r="L25" s="25" t="str">
        <x:v>VERIFIED</x:v>
      </x:c>
    </x:row>
    <x:row r="26" ht="54" customHeight="1">
      <x:c r="A26" s="25" t="str">
        <x:v>S021</x:v>
      </x:c>
      <x:c r="B26" s="25" t="str">
        <x:v>Electronic Code of Federal Regulations</x:v>
      </x:c>
      <x:c r="C26" s="25" t="str">
        <x:v>47 CFR Part 15 Subpart A General</x:v>
      </x:c>
      <x:c r="D26" s="25" t="str">
        <x:v>https://www.ecfr.gov/current/title-47/chapter-I/subchapter-A/part-15/subpart-A</x:v>
      </x:c>
      <x:c r="E26" s="25" t="str">
        <x:v>Regulation</x:v>
      </x:c>
      <x:c r="F26" s="25" t="str">
        <x:v>Tier 1</x:v>
      </x:c>
      <x:c r="G26" s="25" t="str">
        <x:v>USA federal</x:v>
      </x:c>
      <x:c r="H26" s="25" t="str">
        <x:v>Part 15 statements; manual; labels</x:v>
      </x:c>
      <x:c r="I26" s="25" t="str">
        <x:v>2026-09-09</x:v>
      </x:c>
      <x:c r="J26" s="25" t="str">
        <x:v>Current eCFR</x:v>
      </x:c>
      <x:c r="K26" s="25" t="str">
        <x:v>Contains device statement, modification warning, and general Part 15 conditions.</x:v>
      </x:c>
      <x:c r="L26" s="25" t="str">
        <x:v>VERIFIED</x:v>
      </x:c>
    </x:row>
    <x:row r="27" ht="54" customHeight="1">
      <x:c r="A27" s="25" t="str">
        <x:v>S022</x:v>
      </x:c>
      <x:c r="B27" s="25" t="str">
        <x:v>Electronic Code of Federal Regulations</x:v>
      </x:c>
      <x:c r="C27" s="25" t="str">
        <x:v>47 CFR 2.1077 Compliance Information</x:v>
      </x:c>
      <x:c r="D27" s="25" t="str">
        <x:v>https://www.ecfr.gov/current/title-47/chapter-I/subchapter-A/part-2/subpart-J/subject-group-ECFR64d0de5de218f0c/section-2.1077</x:v>
      </x:c>
      <x:c r="E27" s="25" t="str">
        <x:v>Regulation</x:v>
      </x:c>
      <x:c r="F27" s="25" t="str">
        <x:v>Tier 1</x:v>
      </x:c>
      <x:c r="G27" s="25" t="str">
        <x:v>USA federal</x:v>
      </x:c>
      <x:c r="H27" s="25" t="str">
        <x:v>SDoC; US responsible party</x:v>
      </x:c>
      <x:c r="I27" s="25" t="str">
        <x:v>2026-09-09</x:v>
      </x:c>
      <x:c r="J27" s="25" t="str">
        <x:v>Current eCFR</x:v>
      </x:c>
      <x:c r="K27" s="25" t="str">
        <x:v>Requires product identification, compliance statement, and a US responsible party's contact information for SDoC.</x:v>
      </x:c>
      <x:c r="L27" s="25" t="str">
        <x:v>VERIFIED</x:v>
      </x:c>
    </x:row>
    <x:row r="28" ht="54" customHeight="1">
      <x:c r="A28" s="25" t="str">
        <x:v>S023</x:v>
      </x:c>
      <x:c r="B28" s="25" t="str">
        <x:v>Electronic Code of Federal Regulations</x:v>
      </x:c>
      <x:c r="C28" s="25" t="str">
        <x:v>47 CFR 2.1093 RF Exposure Evaluation for Portable Devices</x:v>
      </x:c>
      <x:c r="D28" s="25" t="str">
        <x:v>https://www.ecfr.gov/current/title-47/chapter-I/subchapter-A/part-2/subpart-J/subject-group-ECFR52efa600149ef42/section-2.1093</x:v>
      </x:c>
      <x:c r="E28" s="25" t="str">
        <x:v>Regulation</x:v>
      </x:c>
      <x:c r="F28" s="25" t="str">
        <x:v>Tier 1</x:v>
      </x:c>
      <x:c r="G28" s="25" t="str">
        <x:v>USA federal</x:v>
      </x:c>
      <x:c r="H28" s="25" t="str">
        <x:v>RF exposure; portable; SAR</x:v>
      </x:c>
      <x:c r="I28" s="25" t="str">
        <x:v>2026-09-09</x:v>
      </x:c>
      <x:c r="J28" s="25" t="str">
        <x:v>Current eCFR</x:v>
      </x:c>
      <x:c r="K28" s="25" t="str">
        <x:v>Defines portable use within 20 cm and gives exemption/evaluation framework.</x:v>
      </x:c>
      <x:c r="L28" s="25" t="str">
        <x:v>VERIFIED</x:v>
      </x:c>
    </x:row>
    <x:row r="29" ht="54" customHeight="1">
      <x:c r="A29" s="25" t="str">
        <x:v>S024</x:v>
      </x:c>
      <x:c r="B29" s="25" t="str">
        <x:v>Electronic Code of Federal Regulations</x:v>
      </x:c>
      <x:c r="C29" s="25" t="str">
        <x:v>47 CFR 2.1091 RF Exposure Evaluation for Mobile Devices</x:v>
      </x:c>
      <x:c r="D29" s="25" t="str">
        <x:v>https://www.ecfr.gov/current/title-47/chapter-I/subchapter-A/part-2/subpart-J/subject-group-ECFR52efa600149ef42/section-2.1091</x:v>
      </x:c>
      <x:c r="E29" s="25" t="str">
        <x:v>Regulation</x:v>
      </x:c>
      <x:c r="F29" s="25" t="str">
        <x:v>Tier 1</x:v>
      </x:c>
      <x:c r="G29" s="25" t="str">
        <x:v>USA federal</x:v>
      </x:c>
      <x:c r="H29" s="25" t="str">
        <x:v>RF exposure; mobile; MPE</x:v>
      </x:c>
      <x:c r="I29" s="25" t="str">
        <x:v>2026-09-09</x:v>
      </x:c>
      <x:c r="J29" s="25" t="str">
        <x:v>Current eCFR</x:v>
      </x:c>
      <x:c r="K29" s="25" t="str">
        <x:v>Defines mobile use at least 20 cm and gives exemption/evaluation framework.</x:v>
      </x:c>
      <x:c r="L29" s="25" t="str">
        <x:v>VERIFIED</x:v>
      </x:c>
    </x:row>
    <x:row r="30" ht="54" customHeight="1">
      <x:c r="A30" s="25" t="str">
        <x:v>S025</x:v>
      </x:c>
      <x:c r="B30" s="25" t="str">
        <x:v>Pipeline and Hazardous Materials Safety Administration</x:v>
      </x:c>
      <x:c r="C30" s="25" t="str">
        <x:v>Lithium Batteries</x:v>
      </x:c>
      <x:c r="D30" s="25" t="str">
        <x:v>https://www.phmsa.dot.gov/lithiumbatteries</x:v>
      </x:c>
      <x:c r="E30" s="25" t="str">
        <x:v>Government guidance</x:v>
      </x:c>
      <x:c r="F30" s="25" t="str">
        <x:v>Tier 1</x:v>
      </x:c>
      <x:c r="G30" s="25" t="str">
        <x:v>USA transport</x:v>
      </x:c>
      <x:c r="H30" s="25" t="str">
        <x:v>UN 38.3; test summary; shipping</x:v>
      </x:c>
      <x:c r="I30" s="25" t="str">
        <x:v>2026-09-09</x:v>
      </x:c>
      <x:c r="J30" s="25" t="str">
        <x:v>Current page</x:v>
      </x:c>
      <x:c r="K30" s="25" t="str">
        <x:v>States that offered lithium cells/batteries must pass UN 38.3 and that test summaries must be available on request.</x:v>
      </x:c>
      <x:c r="L30" s="25" t="str">
        <x:v>VERIFIED</x:v>
      </x:c>
    </x:row>
    <x:row r="31" ht="54" customHeight="1">
      <x:c r="A31" s="25" t="str">
        <x:v>S026</x:v>
      </x:c>
      <x:c r="B31" s="25" t="str">
        <x:v>Electronic Code of Federal Regulations</x:v>
      </x:c>
      <x:c r="C31" s="25" t="str">
        <x:v>49 CFR 173.185 Lithium Cells and Batteries</x:v>
      </x:c>
      <x:c r="D31" s="25" t="str">
        <x:v>https://www.ecfr.gov/current/title-49/subtitle-B/chapter-I/subchapter-C/part-173/subpart-E/section-173.185</x:v>
      </x:c>
      <x:c r="E31" s="25" t="str">
        <x:v>Regulation</x:v>
      </x:c>
      <x:c r="F31" s="25" t="str">
        <x:v>Tier 1</x:v>
      </x:c>
      <x:c r="G31" s="25" t="str">
        <x:v>USA transport</x:v>
      </x:c>
      <x:c r="H31" s="25" t="str">
        <x:v>lithium batteries; packaging; marks; UN 38.3</x:v>
      </x:c>
      <x:c r="I31" s="25" t="str">
        <x:v>2026-09-09</x:v>
      </x:c>
      <x:c r="J31" s="25" t="str">
        <x:v>Current eCFR</x:v>
      </x:c>
      <x:c r="K31" s="25" t="str">
        <x:v>Sets UN 38.3, test-summary, Wh/lithium-content, packaging, marking, and configuration-specific requirements.</x:v>
      </x:c>
      <x:c r="L31" s="25" t="str">
        <x:v>VERIFIED</x:v>
      </x:c>
    </x:row>
    <x:row r="32" ht="54" customHeight="1">
      <x:c r="A32" s="25" t="str">
        <x:v>S027</x:v>
      </x:c>
      <x:c r="B32" s="25" t="str">
        <x:v>U.S. Department of Energy</x:v>
      </x:c>
      <x:c r="C32" s="25" t="str">
        <x:v>External Power Supplies</x:v>
      </x:c>
      <x:c r="D32" s="25" t="str">
        <x:v>https://www.energy.gov/cmei/buildings/external-power-supplies</x:v>
      </x:c>
      <x:c r="E32" s="25" t="str">
        <x:v>Government guidance</x:v>
      </x:c>
      <x:c r="F32" s="25" t="str">
        <x:v>Tier 1</x:v>
      </x:c>
      <x:c r="G32" s="25" t="str">
        <x:v>USA federal</x:v>
      </x:c>
      <x:c r="H32" s="25" t="str">
        <x:v>external power supply; Level VI; testing</x:v>
      </x:c>
      <x:c r="I32" s="25" t="str">
        <x:v>2026-09-09</x:v>
      </x:c>
      <x:c r="J32" s="25" t="str">
        <x:v>Reporting update effective 2026-05-28</x:v>
      </x:c>
      <x:c r="K32" s="25" t="str">
        <x:v>Points to current efficiency standards, Appendix Z testing, and part 429 certification.</x:v>
      </x:c>
      <x:c r="L32" s="25" t="str">
        <x:v>VERIFIED</x:v>
      </x:c>
    </x:row>
    <x:row r="33" ht="54" customHeight="1">
      <x:c r="A33" s="25" t="str">
        <x:v>S028</x:v>
      </x:c>
      <x:c r="B33" s="25" t="str">
        <x:v>Electronic Code of Federal Regulations</x:v>
      </x:c>
      <x:c r="C33" s="25" t="str">
        <x:v>10 CFR 429.37 External Power Supplies</x:v>
      </x:c>
      <x:c r="D33" s="25" t="str">
        <x:v>https://www.ecfr.gov/current/title-10/chapter-II/subchapter-D/part-429/subpart-B/section-429.37</x:v>
      </x:c>
      <x:c r="E33" s="25" t="str">
        <x:v>Regulation</x:v>
      </x:c>
      <x:c r="F33" s="25" t="str">
        <x:v>Tier 1</x:v>
      </x:c>
      <x:c r="G33" s="25" t="str">
        <x:v>USA federal</x:v>
      </x:c>
      <x:c r="H33" s="25" t="str">
        <x:v>EPS sampling; certification</x:v>
      </x:c>
      <x:c r="I33" s="25" t="str">
        <x:v>2026-09-09</x:v>
      </x:c>
      <x:c r="J33" s="25" t="str">
        <x:v>Current eCFR</x:v>
      </x:c>
      <x:c r="K33" s="25" t="str">
        <x:v>Prescribes sampling and product-specific certification report data for external power supplies.</x:v>
      </x:c>
      <x:c r="L33" s="25" t="str">
        <x:v>VERIFIED</x:v>
      </x:c>
    </x:row>
    <x:row r="34" ht="54" customHeight="1">
      <x:c r="A34" s="25" t="str">
        <x:v>S029</x:v>
      </x:c>
      <x:c r="B34" s="25" t="str">
        <x:v>Electronic Code of Federal Regulations</x:v>
      </x:c>
      <x:c r="C34" s="25" t="str">
        <x:v>19 CFR 134.11 Country of Origin Marking Required</x:v>
      </x:c>
      <x:c r="D34" s="25" t="str">
        <x:v>https://www.ecfr.gov/current/title-19/chapter-I/part-134/subpart-B/section-134.11</x:v>
      </x:c>
      <x:c r="E34" s="25" t="str">
        <x:v>Regulation</x:v>
      </x:c>
      <x:c r="F34" s="25" t="str">
        <x:v>Tier 1</x:v>
      </x:c>
      <x:c r="G34" s="25" t="str">
        <x:v>USA federal/import</x:v>
      </x:c>
      <x:c r="H34" s="25" t="str">
        <x:v>origin marking; imports</x:v>
      </x:c>
      <x:c r="I34" s="25" t="str">
        <x:v>2026-09-09</x:v>
      </x:c>
      <x:c r="J34" s="25" t="str">
        <x:v>Current eCFR</x:v>
      </x:c>
      <x:c r="K34" s="25" t="str">
        <x:v>Requires foreign-origin articles or containers to identify the English country name for the ultimate purchaser.</x:v>
      </x:c>
      <x:c r="L34" s="25" t="str">
        <x:v>VERIFIED</x:v>
      </x:c>
    </x:row>
    <x:row r="35" ht="54" customHeight="1">
      <x:c r="A35" s="25" t="str">
        <x:v>S030</x:v>
      </x:c>
      <x:c r="B35" s="25" t="str">
        <x:v>Amazon Seller Forums official moderator announcement</x:v>
      </x:c>
      <x:c r="C35" s="25" t="str">
        <x:v>Updates to children's toy compliance requirements</x:v>
      </x:c>
      <x:c r="D35" s="25" t="str">
        <x:v>https://sellercentral.amazon.com/seller-forums/discussions/t/7925a57b-4be5-4176-a918-329133a4536c</x:v>
      </x:c>
      <x:c r="E35" s="25" t="str">
        <x:v>Official platform notice</x:v>
      </x:c>
      <x:c r="F35" s="25" t="str">
        <x:v>Tier 2</x:v>
      </x:c>
      <x:c r="G35" s="25" t="str">
        <x:v>Amazon US</x:v>
      </x:c>
      <x:c r="H35" s="25" t="str">
        <x:v>children's toys; annual TIC testing</x:v>
      </x:c>
      <x:c r="I35" s="25" t="str">
        <x:v>2026-09-09</x:v>
      </x:c>
      <x:c r="J35" s="25" t="str">
        <x:v>Program started 2025-09-03; notice updated 2026</x:v>
      </x:c>
      <x:c r="K35" s="25" t="str">
        <x:v>Requires annual testing or document verification through an Amazon-approved provider for children's toys.</x:v>
      </x:c>
      <x:c r="L35" s="25" t="str">
        <x:v>VERIFIED</x:v>
      </x:c>
    </x:row>
    <x:row r="36" ht="54" customHeight="1">
      <x:c r="A36" s="25" t="str">
        <x:v>S031</x:v>
      </x:c>
      <x:c r="B36" s="25" t="str">
        <x:v>Amazon Seller Forums official news announcement</x:v>
      </x:c>
      <x:c r="C36" s="25" t="str">
        <x:v>Required updates for radio frequency device listings</x:v>
      </x:c>
      <x:c r="D36" s="25" t="str">
        <x:v>https://sellercentral.amazon.com/seller-forums/discussions/t/60ee9c8385ec3ac79b401336c27a5dfd</x:v>
      </x:c>
      <x:c r="E36" s="25" t="str">
        <x:v>Official platform notice</x:v>
      </x:c>
      <x:c r="F36" s="25" t="str">
        <x:v>Tier 2</x:v>
      </x:c>
      <x:c r="G36" s="25" t="str">
        <x:v>Amazon US</x:v>
      </x:c>
      <x:c r="H36" s="25" t="str">
        <x:v>FCC attributes; radio devices</x:v>
      </x:c>
      <x:c r="I36" s="25" t="str">
        <x:v>2026-09-09</x:v>
      </x:c>
      <x:c r="J36" s="25" t="str">
        <x:v>Removal enforcement effective 2022-03-07</x:v>
      </x:c>
      <x:c r="K36" s="25" t="str">
        <x:v>Requires FCC certification number, US responsible-party contact, or a permitted no-authorization declaration in the listing attribute.</x:v>
      </x:c>
      <x:c r="L36" s="25" t="str">
        <x:v>VERIFIED</x:v>
      </x:c>
    </x:row>
    <x:row r="37" ht="54" customHeight="1">
      <x:c r="A37" s="25" t="str">
        <x:v>S032</x:v>
      </x:c>
      <x:c r="B37" s="25" t="str">
        <x:v>Amazon Seller Forums official moderator announcement</x:v>
      </x:c>
      <x:c r="C37" s="25" t="str">
        <x:v>Rechargeable lithium ion batteries compliance policy update</x:v>
      </x:c>
      <x:c r="D37" s="25" t="str">
        <x:v>https://sellercentral.amazon.com/seller-forums/discussions/t/60949da6-acff-4075-bf52-56f916df3370</x:v>
      </x:c>
      <x:c r="E37" s="25" t="str">
        <x:v>Official platform notice</x:v>
      </x:c>
      <x:c r="F37" s="25" t="str">
        <x:v>Tier 2</x:v>
      </x:c>
      <x:c r="G37" s="25" t="str">
        <x:v>Amazon US</x:v>
      </x:c>
      <x:c r="H37" s="25" t="str">
        <x:v>lithium batteries; approved providers</x:v>
      </x:c>
      <x:c r="I37" s="25" t="str">
        <x:v>2026-09-09</x:v>
      </x:c>
      <x:c r="J37" s="25" t="str">
        <x:v>Updated 2026-05</x:v>
      </x:c>
      <x:c r="K37" s="25" t="str">
        <x:v>Confirms updated listing attributes and approved-provider testing/document verification for specified rechargeable lithium battery products.</x:v>
      </x:c>
      <x:c r="L37" s="25" t="str">
        <x:v>VERIFIED</x:v>
      </x:c>
    </x:row>
    <x:row r="38" ht="54" customHeight="1">
      <x:c r="A38" s="25" t="str">
        <x:v>S033</x:v>
      </x:c>
      <x:c r="B38" s="25" t="str">
        <x:v>eBay</x:v>
      </x:c>
      <x:c r="C38" s="25" t="str">
        <x:v>Product Safety Policy</x:v>
      </x:c>
      <x:c r="D38" s="25" t="str">
        <x:v>https://www.ebay.com/help/policies/prohibited-restricted-items/product-safety-policy?id=4300</x:v>
      </x:c>
      <x:c r="E38" s="25" t="str">
        <x:v>Official platform policy</x:v>
      </x:c>
      <x:c r="F38" s="25" t="str">
        <x:v>Tier 2</x:v>
      </x:c>
      <x:c r="G38" s="25" t="str">
        <x:v>eBay US</x:v>
      </x:c>
      <x:c r="H38" s="25" t="str">
        <x:v>recalls; magnets; button batteries; 18650; water beads</x:v>
      </x:c>
      <x:c r="I38" s="25" t="str">
        <x:v>2026-09-09</x:v>
      </x:c>
      <x:c r="J38" s="25" t="str">
        <x:v>Current policy</x:v>
      </x:c>
      <x:c r="K38" s="25" t="str">
        <x:v>Prohibits recalled/unsafe items and lists specific restrictions for magnets, button batteries, loose 18650 cells, and child-marketed water beads.</x:v>
      </x:c>
      <x:c r="L38" s="25" t="str">
        <x:v>VERIFIED</x:v>
      </x:c>
    </x:row>
    <x:row r="39" ht="54" customHeight="1">
      <x:c r="A39" s="25" t="str">
        <x:v>S034</x:v>
      </x:c>
      <x:c r="B39" s="25" t="str">
        <x:v>eBay</x:v>
      </x:c>
      <x:c r="C39" s="25" t="str">
        <x:v>Electronic Equipment Policy</x:v>
      </x:c>
      <x:c r="D39" s="25" t="str">
        <x:v>https://www.ebay.com/help/policies/prohibited-restricted-items/electronic-equipment-policy?id=4302</x:v>
      </x:c>
      <x:c r="E39" s="25" t="str">
        <x:v>Official platform policy</x:v>
      </x:c>
      <x:c r="F39" s="25" t="str">
        <x:v>Tier 2</x:v>
      </x:c>
      <x:c r="G39" s="25" t="str">
        <x:v>eBay US</x:v>
      </x:c>
      <x:c r="H39" s="25" t="str">
        <x:v>FCC authorization; transmitters</x:v>
      </x:c>
      <x:c r="I39" s="25" t="str">
        <x:v>2026-09-09</x:v>
      </x:c>
      <x:c r="J39" s="25" t="str">
        <x:v>Current policy</x:v>
      </x:c>
      <x:c r="K39" s="25" t="str">
        <x:v>Prohibits electronic equipment that lacks required FCC authorization.</x:v>
      </x:c>
      <x:c r="L39" s="25" t="str">
        <x:v>VERIFIED</x:v>
      </x:c>
    </x:row>
    <x:row r="40" ht="54" customHeight="1">
      <x:c r="A40" s="25" t="str">
        <x:v>S035</x:v>
      </x:c>
      <x:c r="B40" s="25" t="str">
        <x:v>California Office of Environmental Health Hazard Assessment</x:v>
      </x:c>
      <x:c r="C40" s="25" t="str">
        <x:v>Businesses and Proposition 65</x:v>
      </x:c>
      <x:c r="D40" s="25" t="str">
        <x:v>https://oehha.ca.gov/proposition-65/businesses-and-proposition-65</x:v>
      </x:c>
      <x:c r="E40" s="25" t="str">
        <x:v>State government guidance</x:v>
      </x:c>
      <x:c r="F40" s="25" t="str">
        <x:v>Tier 1</x:v>
      </x:c>
      <x:c r="G40" s="25" t="str">
        <x:v>California</x:v>
      </x:c>
      <x:c r="H40" s="25" t="str">
        <x:v>listed chemicals; warnings; exemptions</x:v>
      </x:c>
      <x:c r="I40" s="25" t="str">
        <x:v>2026-09-09</x:v>
      </x:c>
      <x:c r="J40" s="25" t="str">
        <x:v>Current page</x:v>
      </x:c>
      <x:c r="K40" s="25" t="str">
        <x:v>Requires a warning before qualifying exposure to a listed chemical unless an exemption or safe-harbor/risk threshold applies.</x:v>
      </x:c>
      <x:c r="L40" s="25" t="str">
        <x:v>VERIFIED</x:v>
      </x:c>
    </x:row>
    <x:row r="41" ht="54" customHeight="1">
      <x:c r="A41" s="25" t="str">
        <x:v>S036</x:v>
      </x:c>
      <x:c r="B41" s="25" t="str">
        <x:v>California Office of Environmental Health Hazard Assessment</x:v>
      </x:c>
      <x:c r="C41" s="25" t="str">
        <x:v>Proposition 65 Clear and Reasonable Warnings Safe Harbor Methods and Content</x:v>
      </x:c>
      <x:c r="D41" s="25" t="str">
        <x:v>https://oehha.ca.gov/proposition-65/crnr/proposition-65-clear-and-reasonable-warnings-safe-harbor-methods-and-content</x:v>
      </x:c>
      <x:c r="E41" s="25" t="str">
        <x:v>State rule update</x:v>
      </x:c>
      <x:c r="F41" s="25" t="str">
        <x:v>Tier 1</x:v>
      </x:c>
      <x:c r="G41" s="25" t="str">
        <x:v>California</x:v>
      </x:c>
      <x:c r="H41" s="25" t="str">
        <x:v>short-form warning; transition</x:v>
      </x:c>
      <x:c r="I41" s="25" t="str">
        <x:v>2026-09-09</x:v>
      </x:c>
      <x:c r="J41" s="25" t="str">
        <x:v>Effective 2025-01-01</x:v>
      </x:c>
      <x:c r="K41" s="25" t="str">
        <x:v>Adds chemical naming and provides a three-year transition for existing short-form warnings.</x:v>
      </x:c>
      <x:c r="L41" s="25" t="str">
        <x:v>VERIFIED</x:v>
      </x:c>
    </x:row>
    <x:row r="42" ht="54" customHeight="1">
      <x:c r="A42" s="25" t="str">
        <x:v>S037</x:v>
      </x:c>
      <x:c r="B42" s="25" t="str">
        <x:v>Federal Register</x:v>
      </x:c>
      <x:c r="C42" s="25" t="str">
        <x:v>Safety Standard for Button Cell or Coin Batteries and Consumer Products Containing Such Batteries</x:v>
      </x:c>
      <x:c r="D42" s="25" t="str">
        <x:v>https://www.federalregister.gov/documents/2023/09/21/2023-20333/safety-standard-for-button-cell-or-coin-batteries-and-consumer-products-containing-such-batteries</x:v>
      </x:c>
      <x:c r="E42" s="25" t="str">
        <x:v>Final rule notice and economic analysis</x:v>
      </x:c>
      <x:c r="F42" s="25" t="str">
        <x:v>Tier 1</x:v>
      </x:c>
      <x:c r="G42" s="25" t="str">
        <x:v>USA federal</x:v>
      </x:c>
      <x:c r="H42" s="25" t="str">
        <x:v>UL 4200A; button cells; cost estimates</x:v>
      </x:c>
      <x:c r="I42" s="25" t="str">
        <x:v>2026-09-09</x:v>
      </x:c>
      <x:c r="J42" s="25" t="str">
        <x:v>Published 2023-09-21</x:v>
      </x:c>
      <x:c r="K42" s="25" t="str">
        <x:v>Adopts UL 4200A-2023 and publishes burden/test cost estimates used in the cost dataset.</x:v>
      </x:c>
      <x:c r="L42" s="25" t="str">
        <x:v>VERIFIED</x:v>
      </x:c>
    </x:row>
    <x:row r="43" ht="54" customHeight="1">
      <x:c r="A43" s="25" t="str">
        <x:v>S038</x:v>
      </x:c>
      <x:c r="B43" s="25" t="str">
        <x:v>Federal Register</x:v>
      </x:c>
      <x:c r="C43" s="25" t="str">
        <x:v>Safety Standard for Toys Requirements for Neck Floats</x:v>
      </x:c>
      <x:c r="D43" s="25" t="str">
        <x:v>https://www.federalregister.gov/documents/2025/12/15/2025-22827/safety-standard-for-toys-requirements-for-neck-floats</x:v>
      </x:c>
      <x:c r="E43" s="25" t="str">
        <x:v>Final rule and economic analysis</x:v>
      </x:c>
      <x:c r="F43" s="25" t="str">
        <x:v>Tier 1</x:v>
      </x:c>
      <x:c r="G43" s="25" t="str">
        <x:v>USA federal</x:v>
      </x:c>
      <x:c r="H43" s="25" t="str">
        <x:v>neck floats; tests; cost estimates</x:v>
      </x:c>
      <x:c r="I43" s="25" t="str">
        <x:v>2026-09-09</x:v>
      </x:c>
      <x:c r="J43" s="25" t="str">
        <x:v>Effective 2026-06-15</x:v>
      </x:c>
      <x:c r="K43" s="25" t="str">
        <x:v>Sets the neck-float rule and estimates certification testing at about $2,767 per sample.</x:v>
      </x:c>
      <x:c r="L43" s="25" t="str">
        <x:v>VERIFIED</x:v>
      </x:c>
    </x:row>
    <x:row r="44" ht="54" customHeight="1">
      <x:c r="A44" s="25" t="str">
        <x:v>S039</x:v>
      </x:c>
      <x:c r="B44" s="25" t="str">
        <x:v>Electronic Code of Federal Regulations</x:v>
      </x:c>
      <x:c r="C44" s="25" t="str">
        <x:v>47 CFR Part 2 Subpart J Equipment Authorization Procedures</x:v>
      </x:c>
      <x:c r="D44" s="25" t="str">
        <x:v>https://www.ecfr.gov/current/title-47/chapter-I/subchapter-A/part-2/subpart-J</x:v>
      </x:c>
      <x:c r="E44" s="25" t="str">
        <x:v>Regulation</x:v>
      </x:c>
      <x:c r="F44" s="25" t="str">
        <x:v>Tier 1</x:v>
      </x:c>
      <x:c r="G44" s="25" t="str">
        <x:v>USA federal</x:v>
      </x:c>
      <x:c r="H44" s="25" t="str">
        <x:v>FCC ID; certification; TCB; records</x:v>
      </x:c>
      <x:c r="I44" s="25" t="str">
        <x:v>2026-09-09</x:v>
      </x:c>
      <x:c r="J44" s="25" t="str">
        <x:v>Current eCFR</x:v>
      </x:c>
      <x:c r="K44" s="25" t="str">
        <x:v>Contains certification application, grant, identification, responsible-party, and recordkeeping requirements.</x:v>
      </x:c>
      <x:c r="L44" s="25" t="str">
        <x:v>VERIFIED</x:v>
      </x:c>
    </x:row>
    <x:row r="45" ht="54" customHeight="1">
      <x:c r="A45" s="25" t="str">
        <x:v>S040</x:v>
      </x:c>
      <x:c r="B45" s="25" t="str">
        <x:v>Federal Communications Commission</x:v>
      </x:c>
      <x:c r="C45" s="25" t="str">
        <x:v>KDB 996369 Modules Module Certification and Integration</x:v>
      </x:c>
      <x:c r="D45" s="25" t="str">
        <x:v>https://apps.fcc.gov/oetcf/kdb/forms/FTSSearchResultPage.cfm?id=44637&amp;switch=P</x:v>
      </x:c>
      <x:c r="E45" s="25" t="str">
        <x:v>Official technical guidance</x:v>
      </x:c>
      <x:c r="F45" s="25" t="str">
        <x:v>Tier 1</x:v>
      </x:c>
      <x:c r="G45" s="25" t="str">
        <x:v>USA federal</x:v>
      </x:c>
      <x:c r="H45" s="25" t="str">
        <x:v>certified modules; host integration</x:v>
      </x:c>
      <x:c r="I45" s="25" t="str">
        <x:v>2026-09-09</x:v>
      </x:c>
      <x:c r="J45" s="25" t="str">
        <x:v>KDB listing updated 2024-11-15</x:v>
      </x:c>
      <x:c r="K45" s="25" t="str">
        <x:v>Identifies current modular-transmitter certification and OEM integration guidance.</x:v>
      </x:c>
      <x:c r="L45" s="25" t="str">
        <x:v>VERIFIED</x:v>
      </x:c>
    </x:row>
    <x:row r="46" ht="54" customHeight="1">
      <x:c r="A46" s="25" t="str">
        <x:v>S041</x:v>
      </x:c>
      <x:c r="B46" s="25" t="str">
        <x:v>U.S. Consumer Product Safety Commission</x:v>
      </x:c>
      <x:c r="C46" s="25" t="str">
        <x:v>Material Change Testing FAQ</x:v>
      </x:c>
      <x:c r="D46" s="25" t="str">
        <x:v>https://www.cpsc.gov/FAQ/Material-Change-Testing</x:v>
      </x:c>
      <x:c r="E46" s="25" t="str">
        <x:v>Government guidance</x:v>
      </x:c>
      <x:c r="F46" s="25" t="str">
        <x:v>Tier 1</x:v>
      </x:c>
      <x:c r="G46" s="25" t="str">
        <x:v>USA federal</x:v>
      </x:c>
      <x:c r="H46" s="25" t="str">
        <x:v>material change; retesting; CPC</x:v>
      </x:c>
      <x:c r="I46" s="25" t="str">
        <x:v>2026-09-09</x:v>
      </x:c>
      <x:c r="J46" s="25" t="str">
        <x:v>Current page</x:v>
      </x:c>
      <x:c r="K46" s="25" t="str">
        <x:v>Requires assessment and retesting when changes could affect compliance; describes when component-only retesting is possible.</x:v>
      </x:c>
      <x:c r="L46" s="25" t="str">
        <x:v>VERIFIED</x:v>
      </x:c>
    </x:row>
    <x:row r="47" ht="54" customHeight="1">
      <x:c r="A47" s="25" t="str">
        <x:v>S042</x:v>
      </x:c>
      <x:c r="B47" s="25" t="str">
        <x:v>U.S. Consumer Product Safety Commission</x:v>
      </x:c>
      <x:c r="C47" s="25" t="str">
        <x:v>Periodic Testing FAQ</x:v>
      </x:c>
      <x:c r="D47" s="25" t="str">
        <x:v>https://www.cpsc.gov/FAQ/Periodic-Testing</x:v>
      </x:c>
      <x:c r="E47" s="25" t="str">
        <x:v>Government guidance</x:v>
      </x:c>
      <x:c r="F47" s="25" t="str">
        <x:v>Tier 1</x:v>
      </x:c>
      <x:c r="G47" s="25" t="str">
        <x:v>USA federal</x:v>
      </x:c>
      <x:c r="H47" s="25" t="str">
        <x:v>periodic testing; production</x:v>
      </x:c>
      <x:c r="I47" s="25" t="str">
        <x:v>2026-09-09</x:v>
      </x:c>
      <x:c r="J47" s="25" t="str">
        <x:v>Current page</x:v>
      </x:c>
      <x:c r="K47" s="25" t="str">
        <x:v>Explains periodic testing after initial certification for continuously produced children's products.</x:v>
      </x:c>
      <x:c r="L47" s="25" t="str">
        <x:v>VERIFIED</x:v>
      </x:c>
    </x:row>
    <x:row r="48" ht="54" customHeight="1">
      <x:c r="A48" s="25" t="str">
        <x:v>S043</x:v>
      </x:c>
      <x:c r="B48" s="25" t="str">
        <x:v>Electronic Code of Federal Regulations</x:v>
      </x:c>
      <x:c r="C48" s="25" t="str">
        <x:v>10 CFR 430.32 Energy Conservation Standards</x:v>
      </x:c>
      <x:c r="D48" s="25" t="str">
        <x:v>https://www.ecfr.gov/current/title-10/chapter-II/subchapter-D/part-430/subpart-C/section-430.32</x:v>
      </x:c>
      <x:c r="E48" s="25" t="str">
        <x:v>Regulation</x:v>
      </x:c>
      <x:c r="F48" s="25" t="str">
        <x:v>Tier 1</x:v>
      </x:c>
      <x:c r="G48" s="25" t="str">
        <x:v>USA federal</x:v>
      </x:c>
      <x:c r="H48" s="25" t="str">
        <x:v>EPS Level VI; battery charger UEC</x:v>
      </x:c>
      <x:c r="I48" s="25" t="str">
        <x:v>2026-09-09</x:v>
      </x:c>
      <x:c r="J48" s="25" t="str">
        <x:v>Up to date 2026-09-04</x:v>
      </x:c>
      <x:c r="K48" s="25" t="str">
        <x:v>Sets external-power-supply efficiency/marking requirements and battery-charger unit-energy-consumption limits.</x:v>
      </x:c>
      <x:c r="L48" s="25" t="str">
        <x:v>VERIFIED</x:v>
      </x:c>
    </x:row>
    <x:row r="49" ht="54" customHeight="1">
      <x:c r="A49" s="25" t="str">
        <x:v>S044</x:v>
      </x:c>
      <x:c r="B49" s="25" t="str">
        <x:v>Electronic Code of Federal Regulations</x:v>
      </x:c>
      <x:c r="C49" s="25" t="str">
        <x:v>10 CFR Part 429 Subpart B Certification</x:v>
      </x:c>
      <x:c r="D49" s="25" t="str">
        <x:v>https://www.ecfr.gov/current/title-10/chapter-II/subchapter-D/part-429/subpart-B</x:v>
      </x:c>
      <x:c r="E49" s="25" t="str">
        <x:v>Regulation</x:v>
      </x:c>
      <x:c r="F49" s="25" t="str">
        <x:v>Tier 1</x:v>
      </x:c>
      <x:c r="G49" s="25" t="str">
        <x:v>USA federal</x:v>
      </x:c>
      <x:c r="H49" s="25" t="str">
        <x:v>DOE testing; CCMS; annual certification</x:v>
      </x:c>
      <x:c r="I49" s="25" t="str">
        <x:v>2026-09-09</x:v>
      </x:c>
      <x:c r="J49" s="25" t="str">
        <x:v>Up to date 2026-09-04</x:v>
      </x:c>
      <x:c r="K49" s="25" t="str">
        <x:v>Requires testing and premarket/annual certification for covered models, including external power supplies and battery chargers.</x:v>
      </x:c>
      <x:c r="L49" s="25" t="str">
        <x:v>VERIFIED</x:v>
      </x:c>
    </x:row>
    <x:row r="50" ht="54" customHeight="1">
      <x:c r="A50" s="25" t="str">
        <x:v>S045</x:v>
      </x:c>
      <x:c r="B50" s="25" t="str">
        <x:v>UL Solutions</x:v>
      </x:c>
      <x:c r="C50" s="25" t="str">
        <x:v>IEC and UL 62368-1 Testing and Certification</x:v>
      </x:c>
      <x:c r="D50" s="25" t="str">
        <x:v>https://www.ul.com/services/iec-62368-1-testing-certification</x:v>
      </x:c>
      <x:c r="E50" s="25" t="str">
        <x:v>Standards/testing organization guidance</x:v>
      </x:c>
      <x:c r="F50" s="25" t="str">
        <x:v>Tier 3</x:v>
      </x:c>
      <x:c r="G50" s="25" t="str">
        <x:v>USA/industry</x:v>
      </x:c>
      <x:c r="H50" s="25" t="str">
        <x:v>electrical safety; AV/ICT equipment</x:v>
      </x:c>
      <x:c r="I50" s="25" t="str">
        <x:v>2026-09-09</x:v>
      </x:c>
      <x:c r="J50" s="25" t="str">
        <x:v>Service page current</x:v>
      </x:c>
      <x:c r="K50" s="25" t="str">
        <x:v>Describes safety testing/certification for audio/video and ICT equipment; used only as an industry-standard reference.</x:v>
      </x:c>
      <x:c r="L50" s="25" t="str">
        <x:v>VERIFIED</x:v>
      </x:c>
    </x:row>
    <x:row r="51" ht="54" customHeight="1">
      <x:c r="A51" s="25" t="str">
        <x:v>S046</x:v>
      </x:c>
      <x:c r="B51" s="25" t="str">
        <x:v>Federal Register</x:v>
      </x:c>
      <x:c r="C51" s="25" t="str">
        <x:v>FCC Third Further Notice of Proposed Rulemaking on Equipment Authorization Security</x:v>
      </x:c>
      <x:c r="D51" s="25" t="str">
        <x:v>https://www.federalregister.gov/documents/2026/08/07/2026-16197/protecting-against-national-security-threats-to-the-communications-supply-chain-through-the</x:v>
      </x:c>
      <x:c r="E51" s="25" t="str">
        <x:v>Proposed rule</x:v>
      </x:c>
      <x:c r="F51" s="25" t="str">
        <x:v>Tier 1</x:v>
      </x:c>
      <x:c r="G51" s="25" t="str">
        <x:v>USA federal</x:v>
      </x:c>
      <x:c r="H51" s="25" t="str">
        <x:v>Covered List; HBOM/SBOM; US liable party</x:v>
      </x:c>
      <x:c r="I51" s="25" t="str">
        <x:v>2026-09-09</x:v>
      </x:c>
      <x:c r="J51" s="25" t="str">
        <x:v>Proposed 2026-08-07</x:v>
      </x:c>
      <x:c r="K51" s="25" t="str">
        <x:v>Seeks comment on broader supply-chain disclosures, SDoC registration, and a US liable party; not final requirements.</x:v>
      </x:c>
      <x:c r="L51" s="25" t="str">
        <x:v>VERIFIED</x:v>
      </x:c>
    </x:row>
    <x:row r="52" ht="54" customHeight="1">
      <x:c r="A52" s="25" t="str">
        <x:v>S047</x:v>
      </x:c>
      <x:c r="B52" s="25" t="str">
        <x:v>Federal Register</x:v>
      </x:c>
      <x:c r="C52" s="25" t="str">
        <x:v>Schedule of Application Fees</x:v>
      </x:c>
      <x:c r="D52" s="25" t="str">
        <x:v>https://www.federalregister.gov/documents/2025/04/23/2025-06899/schedule-of-application-fees</x:v>
      </x:c>
      <x:c r="E52" s="25" t="str">
        <x:v>Final rule / fee schedule</x:v>
      </x:c>
      <x:c r="F52" s="25" t="str">
        <x:v>Tier 1</x:v>
      </x:c>
      <x:c r="G52" s="25" t="str">
        <x:v>USA federal</x:v>
      </x:c>
      <x:c r="H52" s="25" t="str">
        <x:v>FCC fee; grantee code</x:v>
      </x:c>
      <x:c r="I52" s="25" t="str">
        <x:v>2026-09-09</x:v>
      </x:c>
      <x:c r="J52" s="25" t="str">
        <x:v>Effective 2025-05-23</x:v>
      </x:c>
      <x:c r="K52" s="25" t="str">
        <x:v>Sets the FCC grantee-code assignment fee at $35.</x:v>
      </x:c>
      <x:c r="L52" s="25" t="str">
        <x:v>VERIFIED</x:v>
      </x:c>
    </x:row>
    <x:row r="53" ht="54" customHeight="1">
      <x:c r="A53" s="25" t="str">
        <x:v>S048</x:v>
      </x:c>
      <x:c r="B53" s="25" t="str">
        <x:v>Electronic Code of Federal Regulations</x:v>
      </x:c>
      <x:c r="C53" s="25" t="str">
        <x:v>47 CFR Part 2 Subpart J Current Covered List and Certification Provisions</x:v>
      </x:c>
      <x:c r="D53" s="25" t="str">
        <x:v>https://www.ecfr.gov/current/title-47/chapter-I/subchapter-A/part-2/subpart-J?toc=1</x:v>
      </x:c>
      <x:c r="E53" s="25" t="str">
        <x:v>Regulation</x:v>
      </x:c>
      <x:c r="F53" s="25" t="str">
        <x:v>Tier 1</x:v>
      </x:c>
      <x:c r="G53" s="25" t="str">
        <x:v>USA federal</x:v>
      </x:c>
      <x:c r="H53" s="25" t="str">
        <x:v>Covered List; certification; attestations</x:v>
      </x:c>
      <x:c r="I53" s="25" t="str">
        <x:v>2026-09-09</x:v>
      </x:c>
      <x:c r="J53" s="25" t="str">
        <x:v>Amended 2025; current 2026</x:v>
      </x:c>
      <x:c r="K53" s="25" t="str">
        <x:v>Prohibits equipment on the Covered List from authorization and includes certification/permissive-change attestations.</x:v>
      </x:c>
      <x:c r="L53" s="25" t="str">
        <x:v>VERIFIED</x:v>
      </x:c>
    </x:row>
    <x:row r="54" ht="54" customHeight="1">
      <x:c r="A54" s="25" t="str">
        <x:v>S049</x:v>
      </x:c>
      <x:c r="B54" s="25" t="str">
        <x:v>Amazon</x:v>
      </x:c>
      <x:c r="C54" s="25" t="str">
        <x:v>Children's Toys Help Page</x:v>
      </x:c>
      <x:c r="D54" s="25" t="str">
        <x:v>https://sellercentral.amazon.com/help/hub/reference/external/GKJRA3FRPRKVBJJS?locale=en-US</x:v>
      </x:c>
      <x:c r="E54" s="25" t="str">
        <x:v>Official platform help</x:v>
      </x:c>
      <x:c r="F54" s="25" t="str">
        <x:v>Tier 2</x:v>
      </x:c>
      <x:c r="G54" s="25" t="str">
        <x:v>Amazon US</x:v>
      </x:c>
      <x:c r="H54" s="25" t="str">
        <x:v>children's toys; document details</x:v>
      </x:c>
      <x:c r="I54" s="25" t="str">
        <x:v>2026-09-09</x:v>
      </x:c>
      <x:c r="J54" s="25" t="str">
        <x:v>Current page; body login/JavaScript restricted</x:v>
      </x:c>
      <x:c r="K54" s="25" t="str">
        <x:v>Canonical official URL preserved, but detailed page text was not retrievable in this research session.</x:v>
      </x:c>
      <x:c r="L54" s="25" t="str">
        <x:v>UNVERIFIED</x:v>
      </x:c>
    </x:row>
    <x:row r="55" ht="54" customHeight="1">
      <x:c r="A55" s="25" t="str">
        <x:v>S050</x:v>
      </x:c>
      <x:c r="B55" s="25" t="str">
        <x:v>Amazon</x:v>
      </x:c>
      <x:c r="C55" s="25" t="str">
        <x:v>Rechargeable Lithium Ion Batteries Help Page</x:v>
      </x:c>
      <x:c r="D55" s="25" t="str">
        <x:v>https://sellercentral.amazon.com/gp/help/external/200383420</x:v>
      </x:c>
      <x:c r="E55" s="25" t="str">
        <x:v>Official platform help</x:v>
      </x:c>
      <x:c r="F55" s="25" t="str">
        <x:v>Tier 2</x:v>
      </x:c>
      <x:c r="G55" s="25" t="str">
        <x:v>Amazon US</x:v>
      </x:c>
      <x:c r="H55" s="25" t="str">
        <x:v>lithium battery documents</x:v>
      </x:c>
      <x:c r="I55" s="25" t="str">
        <x:v>2026-09-09</x:v>
      </x:c>
      <x:c r="J55" s="25" t="str">
        <x:v>Current page; body login/JavaScript restricted</x:v>
      </x:c>
      <x:c r="K55" s="25" t="str">
        <x:v>Canonical official URL preserved, but detailed document-age and test-report fields were not independently retrievable.</x:v>
      </x:c>
      <x:c r="L55" s="25" t="str">
        <x:v>UNVERIFIED</x:v>
      </x:c>
    </x:row>
    <x:row r="56" ht="54" customHeight="1">
      <x:c r="A56" s="26" t="str">
        <x:v>S051</x:v>
      </x:c>
      <x:c r="B56" s="26" t="str">
        <x:v>Electronic Code of Federal Regulations</x:v>
      </x:c>
      <x:c r="C56" s="26" t="str">
        <x:v>16 CFR 1500.18 Banned Toys and Other Banned Articles Intended for Use by Children</x:v>
      </x:c>
      <x:c r="D56" s="26" t="str">
        <x:v>https://www.ecfr.gov/current/title-16/chapter-II/subchapter-C/part-1500/section-1500.18</x:v>
      </x:c>
      <x:c r="E56" s="26" t="str">
        <x:v>Regulation</x:v>
      </x:c>
      <x:c r="F56" s="26" t="str">
        <x:v>Tier 1</x:v>
      </x:c>
      <x:c r="G56" s="26" t="str">
        <x:v>USA federal</x:v>
      </x:c>
      <x:c r="H56" s="26" t="str">
        <x:v>small balls; children's products; bans</x:v>
      </x:c>
      <x:c r="I56" s="26" t="str">
        <x:v>2026-09-09</x:v>
      </x:c>
      <x:c r="J56" s="26" t="str">
        <x:v>Up to date 2026-09-04</x:v>
      </x:c>
      <x:c r="K56" s="26" t="str">
        <x:v>Contains age- and dimension-specific bans for small balls and other hazardous children's articles.</x:v>
      </x:c>
      <x:c r="L56" s="26" t="str">
        <x:v>VERIFIED</x:v>
      </x:c>
    </x:row>
  </x:sheetData>
  <x:conditionalFormatting sqref="L6:L56">
    <x:cfRule type="containsText" dxfId="8" priority="1" operator="containsText" text="VERIFIED"/>
    <x:cfRule type="containsText" dxfId="9" priority="2" operator="containsText" text="UNVERIFIED"/>
    <x:cfRule type="containsText" dxfId="10" priority="3" operator="containsText" text="CONFLICT"/>
    <x:cfRule type="containsText" dxfId="11" priority="4" operator="containsText" text="NOT FOUND"/>
  </x:conditionalFormatting>
  <x:dataValidations count="1">
    <x:dataValidation type="list" sqref="L6:L56">
      <x:formula1>"VERIFIED,UNVERIFIED,CONFLICT,NOT FOUND"</x:formula1>
    </x:dataValidation>
  </x:dataValidations>
  <x:pageMargins left="0.7" right="0.7" top="0.75" bottom="0.75" header="0.3" footer="0.3"/>
  <x:tableParts count="1">
    <x:tablePart xmlns:r="http://schemas.openxmlformats.org/officeDocument/2006/relationships" r:id="R3869b1b8a0e84579"/>
  </x:tableParts>
</x:worksheet>
</file>

<file path=xl/worksheets/sheet5.xml><?xml version="1.0" encoding="utf-8"?>
<x:worksheet xmlns:x="http://schemas.openxmlformats.org/spreadsheetml/2006/main">
  <x:sheetPr>
    <x:tabColor rgb="FF9A6B2F"/>
  </x:sheetPr>
  <x:sheetViews>
    <x:sheetView showGridLines="0" workbookViewId="0">
      <x:pane xSplit="1" ySplit="5" topLeftCell="B6" activePane="bottomRight" state="frozen"/>
    </x:sheetView>
  </x:sheetViews>
  <x:sheetFormatPr defaultRowHeight="15"/>
  <x:cols>
    <x:col min="1" max="1" width="14" hidden="0" customWidth="1"/>
    <x:col min="2" max="2" width="44" hidden="0" customWidth="1"/>
    <x:col min="3" max="3" width="27" hidden="0" customWidth="1"/>
    <x:col min="4" max="4" width="14" hidden="0" customWidth="1"/>
    <x:col min="5" max="5" width="14" hidden="0" customWidth="1"/>
    <x:col min="6" max="6" width="12" hidden="0" customWidth="1"/>
    <x:col min="7" max="7" width="28" hidden="0" customWidth="1"/>
    <x:col min="8" max="8" width="14" hidden="0" customWidth="1"/>
    <x:col min="9" max="9" width="16" hidden="0" customWidth="1"/>
    <x:col min="10" max="10" width="58" hidden="0" customWidth="1"/>
    <x:col min="11" max="11" width="30" hidden="0" customWidth="1"/>
    <x:col min="12" max="12" width="18" hidden="0" customWidth="1"/>
  </x:cols>
  <x:sheetData>
    <x:row r="2">
      <x:c r="A2" s="1" t="str">
        <x:v>Compliance cost dataset</x:v>
      </x:c>
    </x:row>
    <x:row r="3">
      <x:c r="A3" s="2" t="str">
        <x:v>Policy facts and cost evidence are separate. Regulatory estimates are not vendor quotes and may be stale for procurement.</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cost_id</x:v>
      </x:c>
      <x:c r="B5" s="20" t="str">
        <x:v>compliance_action</x:v>
      </x:c>
      <x:c r="C5" s="20" t="str">
        <x:v>category</x:v>
      </x:c>
      <x:c r="D5" s="20" t="str">
        <x:v>amount_low</x:v>
      </x:c>
      <x:c r="E5" s="20" t="str">
        <x:v>amount_high</x:v>
      </x:c>
      <x:c r="F5" s="20" t="str">
        <x:v>currency</x:v>
      </x:c>
      <x:c r="G5" s="20" t="str">
        <x:v>unit_basis</x:v>
      </x:c>
      <x:c r="H5" s="20" t="str">
        <x:v>source_id</x:v>
      </x:c>
      <x:c r="I5" s="20" t="str">
        <x:v>source_date</x:v>
      </x:c>
      <x:c r="J5" s="20" t="str">
        <x:v>assumptions</x:v>
      </x:c>
      <x:c r="K5" s="20" t="str">
        <x:v>estimate_status</x:v>
      </x:c>
      <x:c r="L5" s="20" t="str">
        <x:v>verification_status</x:v>
      </x:c>
    </x:row>
    <x:row r="6" ht="48" customHeight="1">
      <x:c r="A6" s="24" t="str">
        <x:v>COST-001</x:v>
      </x:c>
      <x:c r="B6" s="24" t="str">
        <x:v>Read-only access to ASTM F963-23 incorporated standard</x:v>
      </x:c>
      <x:c r="C6" s="24" t="str">
        <x:v>Children's toys</x:v>
      </x:c>
      <x:c r="D6" s="30" t="n">
        <x:v>0</x:v>
      </x:c>
      <x:c r="E6" s="30" t="n">
        <x:v>0</x:v>
      </x:c>
      <x:c r="F6" s="24" t="str">
        <x:v>USD</x:v>
      </x:c>
      <x:c r="G6" s="24" t="str">
        <x:v>per online read-only access</x:v>
      </x:c>
      <x:c r="H6" s="24" t="str">
        <x:v>S018</x:v>
      </x:c>
      <x:c r="I6" s="24" t="str">
        <x:v>2024-01-18</x:v>
      </x:c>
      <x:c r="J6" s="24" t="str">
        <x:v>Viewing only through ASTM Reading Library; printing/downloading or a purchased copy may cost extra.</x:v>
      </x:c>
      <x:c r="K6" s="24" t="str">
        <x:v>EXACT PUBLIC ACCESS COST</x:v>
      </x:c>
      <x:c r="L6" s="24" t="str">
        <x:v>VERIFIED</x:v>
      </x:c>
    </x:row>
    <x:row r="7" ht="48" customHeight="1">
      <x:c r="A7" s="25" t="str">
        <x:v>COST-002</x:v>
      </x:c>
      <x:c r="B7" s="25" t="str">
        <x:v>FCC assignment of applicant/grantee code</x:v>
      </x:c>
      <x:c r="C7" s="25" t="str">
        <x:v>Small consumer electronics</x:v>
      </x:c>
      <x:c r="D7" s="31" t="n">
        <x:v>35</x:v>
      </x:c>
      <x:c r="E7" s="31" t="n">
        <x:v>35</x:v>
      </x:c>
      <x:c r="F7" s="25" t="str">
        <x:v>USD</x:v>
      </x:c>
      <x:c r="G7" s="25" t="str">
        <x:v>one-time grantee code assignment</x:v>
      </x:c>
      <x:c r="H7" s="25" t="str">
        <x:v>S047</x:v>
      </x:c>
      <x:c r="I7" s="25" t="str">
        <x:v>2025-05-23</x:v>
      </x:c>
      <x:c r="J7" s="25" t="str">
        <x:v>Government application fee only; excludes lab, TCB, consultant, and payment-processing costs.</x:v>
      </x:c>
      <x:c r="K7" s="25" t="str">
        <x:v>EXACT GOVERNMENT FEE</x:v>
      </x:c>
      <x:c r="L7" s="25" t="str">
        <x:v>VERIFIED</x:v>
      </x:c>
    </x:row>
    <x:row r="8" ht="48" customHeight="1">
      <x:c r="A8" s="25" t="str">
        <x:v>COST-003</x:v>
      </x:c>
      <x:c r="B8" s="25" t="str">
        <x:v>Button/coin battery third-party testing</x:v>
      </x:c>
      <x:c r="C8" s="25" t="str">
        <x:v>Small consumer electronics</x:v>
      </x:c>
      <x:c r="D8" s="31" t="n">
        <x:v>261.72</x:v>
      </x:c>
      <x:c r="E8" s="31" t="n">
        <x:v>261.72</x:v>
      </x:c>
      <x:c r="F8" s="25" t="str">
        <x:v>USD</x:v>
      </x:c>
      <x:c r="G8" s="25" t="str">
        <x:v>per response in CPSC economic estimate</x:v>
      </x:c>
      <x:c r="H8" s="25" t="str">
        <x:v>S037</x:v>
      </x:c>
      <x:c r="I8" s="25" t="str">
        <x:v>2023-09-21</x:v>
      </x:c>
      <x:c r="J8" s="25" t="str">
        <x:v>CPSC says third-party testing varies but is consistent with this per-response estimate; not a lab quote and may be far below current market quotes for complex products.</x:v>
      </x:c>
      <x:c r="K8" s="25" t="str">
        <x:v>REGULATORY ESTIMATE</x:v>
      </x:c>
      <x:c r="L8" s="25" t="str">
        <x:v>VERIFIED</x:v>
      </x:c>
    </x:row>
    <x:row r="9" ht="48" customHeight="1">
      <x:c r="A9" s="25" t="str">
        <x:v>COST-004</x:v>
      </x:c>
      <x:c r="B9" s="25" t="str">
        <x:v>Button/coin battery testing, labeling, and recordkeeping labor input</x:v>
      </x:c>
      <x:c r="C9" s="25" t="str">
        <x:v>Small consumer electronics</x:v>
      </x:c>
      <x:c r="D9" s="31" t="n">
        <x:v>43.62</x:v>
      </x:c>
      <x:c r="E9" s="31" t="n">
        <x:v>43.62</x:v>
      </x:c>
      <x:c r="F9" s="25" t="str">
        <x:v>USD</x:v>
      </x:c>
      <x:c r="G9" s="25" t="str">
        <x:v>labor cost per hour used by CPSC</x:v>
      </x:c>
      <x:c r="H9" s="25" t="str">
        <x:v>S037</x:v>
      </x:c>
      <x:c r="I9" s="25" t="str">
        <x:v>2023-09-21</x:v>
      </x:c>
      <x:c r="J9" s="25" t="str">
        <x:v>CPSC used 1.25 hours for labeling, 3.5 hours for testing, and 1.25 hours for recordkeeping per average response in the higher-burden case. Wage rate is not a vendor price.</x:v>
      </x:c>
      <x:c r="K9" s="25" t="str">
        <x:v>REGULATORY LABOR ASSUMPTION</x:v>
      </x:c>
      <x:c r="L9" s="25" t="str">
        <x:v>VERIFIED</x:v>
      </x:c>
    </x:row>
    <x:row r="10" ht="48" customHeight="1">
      <x:c r="A10" s="25" t="str">
        <x:v>COST-005</x:v>
      </x:c>
      <x:c r="B10" s="25" t="str">
        <x:v>Non-toy children's button-battery recordkeeping/certification labor input</x:v>
      </x:c>
      <x:c r="C10" s="25" t="str">
        <x:v>Children's products that are not toys</x:v>
      </x:c>
      <x:c r="D10" s="31" t="n">
        <x:v>36.8</x:v>
      </x:c>
      <x:c r="E10" s="31" t="n">
        <x:v>36.8</x:v>
      </x:c>
      <x:c r="F10" s="25" t="str">
        <x:v>USD</x:v>
      </x:c>
      <x:c r="G10" s="25" t="str">
        <x:v>labor cost per hour used by CPSC</x:v>
      </x:c>
      <x:c r="H10" s="25" t="str">
        <x:v>S037</x:v>
      </x:c>
      <x:c r="I10" s="25" t="str">
        <x:v>2023-09-21</x:v>
      </x:c>
      <x:c r="J10" s="25" t="str">
        <x:v>CPSC assumed 5 hours for third-party test recordkeeping and 1 hour for certification/label changes per affected product. Not directly applicable to a compliant toy exempt under part 1263.</x:v>
      </x:c>
      <x:c r="K10" s="25" t="str">
        <x:v>REGULATORY LABOR ASSUMPTION</x:v>
      </x:c>
      <x:c r="L10" s="25" t="str">
        <x:v>VERIFIED</x:v>
      </x:c>
    </x:row>
    <x:row r="11" ht="48" customHeight="1">
      <x:c r="A11" s="25" t="str">
        <x:v>COST-006</x:v>
      </x:c>
      <x:c r="B11" s="25" t="str">
        <x:v>Neck-float certification testing for all new requirements</x:v>
      </x:c>
      <x:c r="C11" s="25" t="str">
        <x:v>Children's toys</x:v>
      </x:c>
      <x:c r="D11" s="31" t="n">
        <x:v>2767</x:v>
      </x:c>
      <x:c r="E11" s="31" t="n">
        <x:v>2767</x:v>
      </x:c>
      <x:c r="F11" s="25" t="str">
        <x:v>USD</x:v>
      </x:c>
      <x:c r="G11" s="25" t="str">
        <x:v>per product sample</x:v>
      </x:c>
      <x:c r="H11" s="25" t="str">
        <x:v>S038</x:v>
      </x:c>
      <x:c r="I11" s="25" t="str">
        <x:v>2025-12-15</x:v>
      </x:c>
      <x:c r="J11" s="25" t="str">
        <x:v>CPSC revised its estimate using a commenter-provided accredited-lab quote; average firm assumption was two models ($5,534). Specialty product only.</x:v>
      </x:c>
      <x:c r="K11" s="25" t="str">
        <x:v>REGULATORY ESTIMATE BASED ON LAB QUOTE</x:v>
      </x:c>
      <x:c r="L11" s="25" t="str">
        <x:v>VERIFIED</x:v>
      </x:c>
    </x:row>
    <x:row r="12" ht="48" customHeight="1">
      <x:c r="A12" s="25" t="str">
        <x:v>COST-007</x:v>
      </x:c>
      <x:c r="B12" s="25" t="str">
        <x:v>Individual neck-float test service</x:v>
      </x:c>
      <x:c r="C12" s="25" t="str">
        <x:v>Children's toys</x:v>
      </x:c>
      <x:c r="D12" s="31" t="n">
        <x:v>2000</x:v>
      </x:c>
      <x:c r="E12" s="31" t="n">
        <x:v>2000</x:v>
      </x:c>
      <x:c r="F12" s="25" t="str">
        <x:v>USD</x:v>
      </x:c>
      <x:c r="G12" s="25" t="str">
        <x:v>approximately per individual test</x:v>
      </x:c>
      <x:c r="H12" s="25" t="str">
        <x:v>S038</x:v>
      </x:c>
      <x:c r="I12" s="25" t="str">
        <x:v>2025-12-15</x:v>
      </x:c>
      <x:c r="J12" s="25" t="str">
        <x:v>Final rule says an individual test could cost close to $2,000; exact test and lab were not identified publicly.</x:v>
      </x:c>
      <x:c r="K12" s="25" t="str">
        <x:v>REGULATORY DESCRIPTION OF QUOTE</x:v>
      </x:c>
      <x:c r="L12" s="25" t="str">
        <x:v>VERIFIED</x:v>
      </x:c>
    </x:row>
    <x:row r="13" ht="48" customHeight="1">
      <x:c r="A13" s="26" t="str">
        <x:v>COST-008</x:v>
      </x:c>
      <x:c r="B13" s="26" t="str">
        <x:v>Neck-float labeling and instructions labor input</x:v>
      </x:c>
      <x:c r="C13" s="26" t="str">
        <x:v>Children's toys</x:v>
      </x:c>
      <x:c r="D13" s="32" t="n">
        <x:v>41.76</x:v>
      </x:c>
      <x:c r="E13" s="32" t="n">
        <x:v>41.76</x:v>
      </x:c>
      <x:c r="F13" s="26" t="str">
        <x:v>USD</x:v>
      </x:c>
      <x:c r="G13" s="26" t="str">
        <x:v>labor cost per hour used by CPSC</x:v>
      </x:c>
      <x:c r="H13" s="26" t="str">
        <x:v>S038</x:v>
      </x:c>
      <x:c r="I13" s="26" t="str">
        <x:v>2025-12-15</x:v>
      </x:c>
      <x:c r="J13" s="26" t="str">
        <x:v>CPSC estimated two hours per response and 20 responses annually; wage rate is not a printer, designer, or consultant price.</x:v>
      </x:c>
      <x:c r="K13" s="26" t="str">
        <x:v>REGULATORY LABOR ASSUMPTION</x:v>
      </x:c>
      <x:c r="L13" s="26" t="str">
        <x:v>VERIFIED</x:v>
      </x:c>
    </x:row>
  </x:sheetData>
  <x:conditionalFormatting sqref="L6:L13">
    <x:cfRule type="containsText" dxfId="12" priority="1" operator="containsText" text="VERIFIED"/>
    <x:cfRule type="containsText" dxfId="13" priority="2" operator="containsText" text="UNVERIFIED"/>
    <x:cfRule type="containsText" dxfId="14" priority="3" operator="containsText" text="CONFLICT"/>
    <x:cfRule type="containsText" dxfId="15" priority="4" operator="containsText" text="NOT FOUND"/>
  </x:conditionalFormatting>
  <x:dataValidations count="1">
    <x:dataValidation type="list" sqref="L6:L13">
      <x:formula1>"VERIFIED,UNVERIFIED,CONFLICT,NOT FOUND"</x:formula1>
    </x:dataValidation>
  </x:dataValidations>
  <x:pageMargins left="0.7" right="0.7" top="0.75" bottom="0.75" header="0.3" footer="0.3"/>
  <x:tableParts count="1">
    <x:tablePart xmlns:r="http://schemas.openxmlformats.org/officeDocument/2006/relationships" r:id="R2ee48e28dd544b13"/>
  </x:tableParts>
</x:worksheet>
</file>

<file path=xl/worksheets/sheet6.xml><?xml version="1.0" encoding="utf-8"?>
<x:worksheet xmlns:x="http://schemas.openxmlformats.org/spreadsheetml/2006/main">
  <x:sheetPr>
    <x:tabColor rgb="FFA65353"/>
  </x:sheetPr>
  <x:sheetViews>
    <x:sheetView showGridLines="0" workbookViewId="0">
      <x:pane xSplit="1" ySplit="5" topLeftCell="B6" activePane="bottomRight" state="frozen"/>
    </x:sheetView>
  </x:sheetViews>
  <x:sheetFormatPr defaultRowHeight="15"/>
  <x:cols>
    <x:col min="1" max="1" width="14" hidden="0" customWidth="1"/>
    <x:col min="2" max="2" width="18" hidden="0" customWidth="1"/>
    <x:col min="3" max="3" width="44" hidden="0" customWidth="1"/>
    <x:col min="4" max="4" width="18" hidden="0" customWidth="1"/>
    <x:col min="5" max="5" width="65" hidden="0" customWidth="1"/>
    <x:col min="6" max="6" width="65" hidden="0" customWidth="1"/>
  </x:cols>
  <x:sheetData>
    <x:row r="2">
      <x:c r="A2" s="1" t="str">
        <x:v>Gaps conflicts and uncertainties</x:v>
      </x:c>
    </x:row>
    <x:row r="3">
      <x:c r="A3" s="2" t="str">
        <x:v>Resolve these before converting the dataset into automated pass/fail decisions.</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gap_id</x:v>
      </x:c>
      <x:c r="B5" s="20" t="str">
        <x:v>area</x:v>
      </x:c>
      <x:c r="C5" s="20" t="str">
        <x:v>issue</x:v>
      </x:c>
      <x:c r="D5" s="20" t="str">
        <x:v>status</x:v>
      </x:c>
      <x:c r="E5" s="20" t="str">
        <x:v>evidence_reason</x:v>
      </x:c>
      <x:c r="F5" s="20" t="str">
        <x:v>recommended_resolution</x:v>
      </x:c>
    </x:row>
    <x:row r="6" ht="48" customHeight="1">
      <x:c r="A6" s="24" t="str">
        <x:v>GAP-001</x:v>
      </x:c>
      <x:c r="B6" s="24" t="str">
        <x:v>Cost</x:v>
      </x:c>
      <x:c r="C6" s="24" t="str">
        <x:v>ASTM F963/lead/phthalates/small-parts laboratory prices</x:v>
      </x:c>
      <x:c r="D6" s="24" t="str">
        <x:v>NOT FOUND</x:v>
      </x:c>
      <x:c r="E6" s="24" t="str">
        <x:v>CPSC and recognized labs did not publish a current, broadly applicable price schedule. Quotes depend on materials, colors, features, sample count, and lab location.</x:v>
      </x:c>
      <x:c r="F6" s="24" t="str">
        <x:v>Obtain three scoped quotes using a fixed bill of materials and section-level test plan before budgeting.</x:v>
      </x:c>
    </x:row>
    <x:row r="7" ht="48" customHeight="1">
      <x:c r="A7" s="25" t="str">
        <x:v>GAP-002</x:v>
      </x:c>
      <x:c r="B7" s="25" t="str">
        <x:v>Cost</x:v>
      </x:c>
      <x:c r="C7" s="25" t="str">
        <x:v>FCC Part 15 transmitter and digital-device lab/TCB prices</x:v>
      </x:c>
      <x:c r="D7" s="25" t="str">
        <x:v>NOT FOUND</x:v>
      </x:c>
      <x:c r="E7" s="25" t="str">
        <x:v>Recognized providers publish quote workflows rather than stable public fees; government grantee-code fee is only $35 and is not the main project cost.</x:v>
      </x:c>
      <x:c r="F7" s="25" t="str">
        <x:v>Quote lab testing, RF exposure, TCB review, confidentiality, and module/host permutations separately.</x:v>
      </x:c>
    </x:row>
    <x:row r="8" ht="48" customHeight="1">
      <x:c r="A8" s="25" t="str">
        <x:v>GAP-003</x:v>
      </x:c>
      <x:c r="B8" s="25" t="str">
        <x:v>Cost</x:v>
      </x:c>
      <x:c r="C8" s="25" t="str">
        <x:v>UN 38.3 battery test and test-summary prices</x:v>
      </x:c>
      <x:c r="D8" s="25" t="str">
        <x:v>NOT FOUND</x:v>
      </x:c>
      <x:c r="E8" s="25" t="str">
        <x:v>No current authoritative public price from a recognized lab was verified. A battery supplier may already hold the required test summary.</x:v>
      </x:c>
      <x:c r="F8" s="25" t="str">
        <x:v>Request the battery model's existing UN 38.3 report/summary before commissioning new tests; then obtain lab quotes if the exact design is not covered.</x:v>
      </x:c>
    </x:row>
    <x:row r="9" ht="48" customHeight="1">
      <x:c r="A9" s="25" t="str">
        <x:v>GAP-004</x:v>
      </x:c>
      <x:c r="B9" s="25" t="str">
        <x:v>Cost</x:v>
      </x:c>
      <x:c r="C9" s="25" t="str">
        <x:v>Amazon-approved testing provider prices</x:v>
      </x:c>
      <x:c r="D9" s="25" t="str">
        <x:v>NOT FOUND</x:v>
      </x:c>
      <x:c r="E9" s="25" t="str">
        <x:v>Amazon's official workflows require sellers to accept a provider quote; no public fixed price was verified.</x:v>
      </x:c>
      <x:c r="F9" s="25" t="str">
        <x:v>Treat marketplace verification as quote-based and store quote date, ASIN scope, sample count, and renewal term.</x:v>
      </x:c>
    </x:row>
    <x:row r="10" ht="48" customHeight="1">
      <x:c r="A10" s="25" t="str">
        <x:v>GAP-005</x:v>
      </x:c>
      <x:c r="B10" s="25" t="str">
        <x:v>Platform evidence</x:v>
      </x:c>
      <x:c r="C10" s="25" t="str">
        <x:v>Amazon help-page detailed document age and evidence list</x:v>
      </x:c>
      <x:c r="D10" s="25" t="str">
        <x:v>UNVERIFIED</x:v>
      </x:c>
      <x:c r="E10" s="25" t="str">
        <x:v>Canonical help URLs were preserved, but their bodies required JavaScript/authentication and could not be independently read. Official forum notices verify the program and workflow, not every help-page field.</x:v>
      </x:c>
      <x:c r="F10" s="25" t="str">
        <x:v>Verify exact current requirements in Seller Central when implementing the update-check workflow.</x:v>
      </x:c>
    </x:row>
    <x:row r="11" ht="48" customHeight="1">
      <x:c r="A11" s="25" t="str">
        <x:v>GAP-006</x:v>
      </x:c>
      <x:c r="B11" s="25" t="str">
        <x:v>Federal applicability</x:v>
      </x:c>
      <x:c r="C11" s="25" t="str">
        <x:v>Exact ASTM F963 sections for an arbitrary toy</x:v>
      </x:c>
      <x:c r="D11" s="25" t="str">
        <x:v>UNVERIFIED</x:v>
      </x:c>
      <x:c r="E11" s="25" t="str">
        <x:v>The applicable-section set cannot be determined without age grade, construction, materials, and play features. The matrix lists routing logic, not a universal test package.</x:v>
      </x:c>
      <x:c r="F11" s="25" t="str">
        <x:v>Use the attribute checklist to generate a candidate section list, then require laboratory/compliance review before marking applicable.</x:v>
      </x:c>
    </x:row>
    <x:row r="12" ht="48" customHeight="1">
      <x:c r="A12" s="25" t="str">
        <x:v>GAP-007</x:v>
      </x:c>
      <x:c r="B12" s="25" t="str">
        <x:v>Federal applicability</x:v>
      </x:c>
      <x:c r="C12" s="25" t="str">
        <x:v>FCC rule part and test modes for an arbitrary radio</x:v>
      </x:c>
      <x:c r="D12" s="25" t="str">
        <x:v>UNVERIFIED</x:v>
      </x:c>
      <x:c r="E12" s="25" t="str">
        <x:v>Protocol name alone does not determine all technical sections, antennas, bandwidths, powers, exposure modes, or licensed-service rules.</x:v>
      </x:c>
      <x:c r="F12" s="25" t="str">
        <x:v>Require band, antenna, power, simultaneous-transmission, module-grant, and body-separation fields before lab scoping.</x:v>
      </x:c>
    </x:row>
    <x:row r="13" ht="48" customHeight="1">
      <x:c r="A13" s="25" t="str">
        <x:v>GAP-008</x:v>
      </x:c>
      <x:c r="B13" s="25" t="str">
        <x:v>Federal versus industry</x:v>
      </x:c>
      <x:c r="C13" s="25" t="str">
        <x:v>Universal UL listing for small consumer electronics</x:v>
      </x:c>
      <x:c r="D13" s="25" t="str">
        <x:v>NOT FOUND</x:v>
      </x:c>
      <x:c r="E13" s="25" t="str">
        <x:v>No blanket federal rule requiring UL certification for all small consumer electronics was verified. Product-specific law, electrical codes, retailers, insurers, or contracts may require it.</x:v>
      </x:c>
      <x:c r="F13" s="25" t="str">
        <x:v>Classify UL/NRTL as conditional or recommended until a product/channel-specific authority is linked.</x:v>
      </x:c>
    </x:row>
    <x:row r="14" ht="48" customHeight="1">
      <x:c r="A14" s="25" t="str">
        <x:v>GAP-009</x:v>
      </x:c>
      <x:c r="B14" s="25" t="str">
        <x:v>State law</x:v>
      </x:c>
      <x:c r="C14" s="25" t="str">
        <x:v>State chemical, battery EPR, children's-product, privacy, and connected-device overlays outside California Proposition 65</x:v>
      </x:c>
      <x:c r="D14" s="25" t="str">
        <x:v>NOT FOUND</x:v>
      </x:c>
      <x:c r="E14" s="25" t="str">
        <x:v>A 50-state survey was outside the bounded source set and rules change frequently.</x:v>
      </x:c>
      <x:c r="F14" s="25" t="str">
        <x:v>MVP should ask sales states and show a state-law review flag outside California; do not display NOT FOUND as not required.</x:v>
      </x:c>
    </x:row>
    <x:row r="15" ht="48" customHeight="1">
      <x:c r="A15" s="25" t="str">
        <x:v>GAP-010</x:v>
      </x:c>
      <x:c r="B15" s="25" t="str">
        <x:v>Transport</x:v>
      </x:c>
      <x:c r="C15" s="25" t="str">
        <x:v>Carrier-specific air/sea/parcel lithium battery rules</x:v>
      </x:c>
      <x:c r="D15" s="25" t="str">
        <x:v>NOT FOUND</x:v>
      </x:c>
      <x:c r="E15" s="25" t="str">
        <x:v>DOT/PHMSA sets federal baseline, but carrier tariffs and IATA/ICAO/IMDG implementations can be stricter and route-specific.</x:v>
      </x:c>
      <x:c r="F15" s="25" t="str">
        <x:v>Add carrier, mode, origin, battery configuration, and quantity to a later transport module.</x:v>
      </x:c>
    </x:row>
    <x:row r="16" ht="48" customHeight="1">
      <x:c r="A16" s="25" t="str">
        <x:v>GAP-011</x:v>
      </x:c>
      <x:c r="B16" s="25" t="str">
        <x:v>Classification</x:v>
      </x:c>
      <x:c r="C16" s="25" t="str">
        <x:v>Hybrid child-targeted electronic toy</x:v>
      </x:c>
      <x:c r="D16" s="25" t="str">
        <x:v>CONFLICT</x:v>
      </x:c>
      <x:c r="E16" s="25" t="str">
        <x:v>It can simultaneously trigger CPSC toy/children rules, FCC authorization, DOE charger/EPS rules, lithium transport rules, and platform policies. Treating categories as mutually exclusive would be wrong.</x:v>
      </x:c>
      <x:c r="F16" s="25" t="str">
        <x:v>Allow dual routing and merge requirements by rule ID; de-duplicate documents only after confirming they cover the same model/configuration.</x:v>
      </x:c>
    </x:row>
    <x:row r="17" ht="48" customHeight="1">
      <x:c r="A17" s="25" t="str">
        <x:v>GAP-012</x:v>
      </x:c>
      <x:c r="B17" s="25" t="str">
        <x:v>Regulatory change</x:v>
      </x:c>
      <x:c r="C17" s="25" t="str">
        <x:v>FCC 2026 equipment-authorization security proposal</x:v>
      </x:c>
      <x:c r="D17" s="25" t="str">
        <x:v>UNVERIFIED</x:v>
      </x:c>
      <x:c r="E17" s="25" t="str">
        <x:v>The FCC proposal includes potential US liable-party, SDoC registration, and HBOM/SBOM requirements, but it was not final as of 2026-09-09.</x:v>
      </x:c>
      <x:c r="F17" s="25" t="str">
        <x:v>Store as a watchlist source and exclude from current pass/fail logic until a final rule and effective date are verified.</x:v>
      </x:c>
    </x:row>
    <x:row r="18" ht="48" customHeight="1">
      <x:c r="A18" s="25" t="str">
        <x:v>GAP-013</x:v>
      </x:c>
      <x:c r="B18" s="25" t="str">
        <x:v>Verification model</x:v>
      </x:c>
      <x:c r="C18" s="25" t="str">
        <x:v>Negative conclusions</x:v>
      </x:c>
      <x:c r="D18" s="25" t="str">
        <x:v>CONFLICT</x:v>
      </x:c>
      <x:c r="E18" s="25" t="str">
        <x:v>NOT FOUND or UNVERIFIED never means not required. Product-specific facts or inaccessible platform pages can change the result.</x:v>
      </x:c>
      <x:c r="F18" s="25" t="str">
        <x:v>UI and exports must preserve status and show a review task instead of converting missing evidence to a green result.</x:v>
      </x:c>
    </x:row>
    <x:row r="19" ht="48" customHeight="1">
      <x:c r="A19" s="26" t="str">
        <x:v>GAP-014</x:v>
      </x:c>
      <x:c r="B19" s="26" t="str">
        <x:v>Jurisdiction</x:v>
      </x:c>
      <x:c r="C19" s="26" t="str">
        <x:v>EU GPSR disclosure content on eBay</x:v>
      </x:c>
      <x:c r="D19" s="26" t="str">
        <x:v>VERIFIED</x:v>
      </x:c>
      <x:c r="E19" s="26" t="str">
        <x:v>eBay publishes GPSR disclosure guidance, but it is not a USA requirement and was excluded from the US matrix.</x:v>
      </x:c>
      <x:c r="F19" s="26" t="str">
        <x:v>Keep jurisdiction filters mandatory so EU platform content cannot leak into US compliance decisions.</x:v>
      </x:c>
    </x:row>
  </x:sheetData>
  <x:conditionalFormatting sqref="D6:D19">
    <x:cfRule type="containsText" dxfId="16" priority="1" operator="containsText" text="VERIFIED"/>
    <x:cfRule type="containsText" dxfId="17" priority="2" operator="containsText" text="UNVERIFIED"/>
    <x:cfRule type="containsText" dxfId="18" priority="3" operator="containsText" text="CONFLICT"/>
    <x:cfRule type="containsText" dxfId="19" priority="4" operator="containsText" text="NOT FOUND"/>
  </x:conditionalFormatting>
  <x:dataValidations count="1">
    <x:dataValidation type="list" sqref="D6:D19">
      <x:formula1>"VERIFIED,UNVERIFIED,CONFLICT,NOT FOUND"</x:formula1>
    </x:dataValidation>
  </x:dataValidations>
  <x:pageMargins left="0.7" right="0.7" top="0.75" bottom="0.75" header="0.3" footer="0.3"/>
  <x:tableParts count="1">
    <x:tablePart xmlns:r="http://schemas.openxmlformats.org/officeDocument/2006/relationships" r:id="Rf9fc9241fb664ba8"/>
  </x:tableParts>
</x:worksheet>
</file>

<file path=xl/worksheets/sheet7.xml><?xml version="1.0" encoding="utf-8"?>
<x:worksheet xmlns:x="http://schemas.openxmlformats.org/spreadsheetml/2006/main">
  <x:sheetPr>
    <x:tabColor rgb="FF2E7D5A"/>
  </x:sheetPr>
  <x:sheetViews>
    <x:sheetView showGridLines="0" workbookViewId="0">
      <x:pane xSplit="1" ySplit="5" topLeftCell="B6" activePane="bottomRight" state="frozen"/>
    </x:sheetView>
  </x:sheetViews>
  <x:sheetFormatPr defaultRowHeight="15"/>
  <x:cols>
    <x:col min="1" max="1" width="14" hidden="0" customWidth="1"/>
    <x:col min="2" max="2" width="25" hidden="0" customWidth="1"/>
    <x:col min="3" max="3" width="70" hidden="0" customWidth="1"/>
    <x:col min="4" max="4" width="38" hidden="0" customWidth="1"/>
    <x:col min="5" max="5" width="12" hidden="0" customWidth="1"/>
    <x:col min="6" max="6" width="18" hidden="0" customWidth="1"/>
    <x:col min="7" max="7" width="58" hidden="0" customWidth="1"/>
  </x:cols>
  <x:sheetData>
    <x:row r="2">
      <x:c r="A2" s="1" t="str">
        <x:v>Recommended verified subset for the four-day MVP</x:v>
      </x:c>
    </x:row>
    <x:row r="3">
      <x:c r="A3" s="2" t="str">
        <x:v>P0 rules support broad category routing; P1 specialty rules remain escalation flags.</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5" ht="32" customHeight="1">
      <x:c r="A5" s="20" t="str">
        <x:v>subset_id</x:v>
      </x:c>
      <x:c r="B5" s="20" t="str">
        <x:v>module</x:v>
      </x:c>
      <x:c r="C5" s="20" t="str">
        <x:v>recommended_scope</x:v>
      </x:c>
      <x:c r="D5" s="20" t="str">
        <x:v>rule_ids</x:v>
      </x:c>
      <x:c r="E5" s="20" t="str">
        <x:v>priority</x:v>
      </x:c>
      <x:c r="F5" s="20" t="str">
        <x:v>verification_status</x:v>
      </x:c>
      <x:c r="G5" s="20" t="str">
        <x:v>rationale</x:v>
      </x:c>
    </x:row>
    <x:row r="6" ht="48" customHeight="1">
      <x:c r="A6" s="24" t="str">
        <x:v>MVP-001</x:v>
      </x:c>
      <x:c r="B6" s="24" t="str">
        <x:v>Shared intake</x:v>
      </x:c>
      <x:c r="C6" s="24" t="str">
        <x:v>Capture category, child-targeted flag, intended age, marketplace, sales states, country of origin, and importer/responsible-party identity.</x:v>
      </x:c>
      <x:c r="D6" s="24" t="str">
        <x:v>R-CMN-001; R-CMN-002; R-TOY-001; R-ELEC-001</x:v>
      </x:c>
      <x:c r="E6" s="24" t="str">
        <x:v>P0</x:v>
      </x:c>
      <x:c r="F6" s="24" t="str">
        <x:v>VERIFIED</x:v>
      </x:c>
      <x:c r="G6" s="24" t="str">
        <x:v>These fields prevent the largest routing errors and support both demos without hard-coding products.</x:v>
      </x:c>
    </x:row>
    <x:row r="7" ht="48" customHeight="1">
      <x:c r="A7" s="25" t="str">
        <x:v>MVP-002</x:v>
      </x:c>
      <x:c r="B7" s="25" t="str">
        <x:v>Toy core</x:v>
      </x:c>
      <x:c r="C7" s="25" t="str">
        <x:v>Route toy age/material/feature attributes to ASTM F963-23 sections, third-party testing, and CPC.</x:v>
      </x:c>
      <x:c r="D7" s="25" t="str">
        <x:v>R-TOY-002; R-TOY-003</x:v>
      </x:c>
      <x:c r="E7" s="25" t="str">
        <x:v>P0</x:v>
      </x:c>
      <x:c r="F7" s="25" t="str">
        <x:v>VERIFIED</x:v>
      </x:c>
      <x:c r="G7" s="25" t="str">
        <x:v>Require human confirmation of the specific F963 sections before a final pass.</x:v>
      </x:c>
    </x:row>
    <x:row r="8" ht="48" customHeight="1">
      <x:c r="A8" s="25" t="str">
        <x:v>MVP-003</x:v>
      </x:c>
      <x:c r="B8" s="25" t="str">
        <x:v>Toy chemicals</x:v>
      </x:c>
      <x:c r="C8" s="25" t="str">
        <x:v>Implement accessible component, coating, and plasticized-material triggers for total lead, lead paint, and eight phthalates.</x:v>
      </x:c>
      <x:c r="D8" s="25" t="str">
        <x:v>R-TOY-004; R-TOY-005; R-TOY-006</x:v>
      </x:c>
      <x:c r="E8" s="25" t="str">
        <x:v>P0</x:v>
      </x:c>
      <x:c r="F8" s="25" t="str">
        <x:v>VERIFIED</x:v>
      </x:c>
      <x:c r="G8" s="25" t="str">
        <x:v>Do not treat material determinations as compliance exemptions.</x:v>
      </x:c>
    </x:row>
    <x:row r="9" ht="48" customHeight="1">
      <x:c r="A9" s="25" t="str">
        <x:v>MVP-004</x:v>
      </x:c>
      <x:c r="B9" s="25" t="str">
        <x:v>Toy choking</x:v>
      </x:c>
      <x:c r="C9" s="25" t="str">
        <x:v>Implement under-three small-parts ban and ages three-through-five warning routing.</x:v>
      </x:c>
      <x:c r="D9" s="25" t="str">
        <x:v>R-TOY-007; R-TOY-008; R-TOY-009</x:v>
      </x:c>
      <x:c r="E9" s="25" t="str">
        <x:v>P0</x:v>
      </x:c>
      <x:c r="F9" s="25" t="str">
        <x:v>VERIFIED</x:v>
      </x:c>
      <x:c r="G9" s="25" t="str">
        <x:v>Keep ban and warning outcomes distinct.</x:v>
      </x:c>
    </x:row>
    <x:row r="10" ht="48" customHeight="1">
      <x:c r="A10" s="25" t="str">
        <x:v>MVP-005</x:v>
      </x:c>
      <x:c r="B10" s="25" t="str">
        <x:v>Toy magnets and batteries</x:v>
      </x:c>
      <x:c r="C10" s="25" t="str">
        <x:v>Capture magnets, battery operation, button/coin cells, compartment access, and separately packaged cells.</x:v>
      </x:c>
      <x:c r="D10" s="25" t="str">
        <x:v>R-TOY-010; R-TOY-011; R-TOY-012</x:v>
      </x:c>
      <x:c r="E10" s="25" t="str">
        <x:v>P0</x:v>
      </x:c>
      <x:c r="F10" s="25" t="str">
        <x:v>VERIFIED</x:v>
      </x:c>
      <x:c r="G10" s="25" t="str">
        <x:v>Separates ASTM toy battery path from Reese's Law product/battery-package paths.</x:v>
      </x:c>
    </x:row>
    <x:row r="11" ht="48" customHeight="1">
      <x:c r="A11" s="25" t="str">
        <x:v>MVP-006</x:v>
      </x:c>
      <x:c r="B11" s="25" t="str">
        <x:v>Toy traceability and changes</x:v>
      </x:c>
      <x:c r="C11" s="25" t="str">
        <x:v>Require tracking-label fields and retest flags for compliance-affecting changes.</x:v>
      </x:c>
      <x:c r="D11" s="25" t="str">
        <x:v>R-TOY-014; R-TOY-015</x:v>
      </x:c>
      <x:c r="E11" s="25" t="str">
        <x:v>P0</x:v>
      </x:c>
      <x:c r="F11" s="25" t="str">
        <x:v>VERIFIED</x:v>
      </x:c>
      <x:c r="G11" s="25" t="str">
        <x:v>Periodic testing can be a P1 module after launch.</x:v>
      </x:c>
    </x:row>
    <x:row r="12" ht="48" customHeight="1">
      <x:c r="A12" s="25" t="str">
        <x:v>MVP-007</x:v>
      </x:c>
      <x:c r="B12" s="25" t="str">
        <x:v>Toy platforms</x:v>
      </x:c>
      <x:c r="C12" s="25" t="str">
        <x:v>Add Amazon annual approved-provider verification and eBay safety/prohibition checks.</x:v>
      </x:c>
      <x:c r="D12" s="25" t="str">
        <x:v>R-TOY-019; R-TOY-020</x:v>
      </x:c>
      <x:c r="E12" s="25" t="str">
        <x:v>P0</x:v>
      </x:c>
      <x:c r="F12" s="25" t="str">
        <x:v>VERIFIED</x:v>
      </x:c>
      <x:c r="G12" s="25" t="str">
        <x:v>Store platform evidence separately from federal compliance.</x:v>
      </x:c>
    </x:row>
    <x:row r="13" ht="48" customHeight="1">
      <x:c r="A13" s="25" t="str">
        <x:v>MVP-008</x:v>
      </x:c>
      <x:c r="B13" s="25" t="str">
        <x:v>Electronics RF routing</x:v>
      </x:c>
      <x:c r="C13" s="25" t="str">
        <x:v>Capture intentional transmitter, digital device, clocks, power modes, module status, bands, antenna, and body separation.</x:v>
      </x:c>
      <x:c r="D13" s="25" t="str">
        <x:v>R-ELEC-002; R-ELEC-003; R-ELEC-004; R-ELEC-007; R-ELEC-009</x:v>
      </x:c>
      <x:c r="E13" s="25" t="str">
        <x:v>P0</x:v>
      </x:c>
      <x:c r="F13" s="25" t="str">
        <x:v>VERIFIED</x:v>
      </x:c>
      <x:c r="G13" s="25" t="str">
        <x:v>Supports Bluetooth earphones as one example without making Bluetooth the category.</x:v>
      </x:c>
    </x:row>
    <x:row r="14" ht="48" customHeight="1">
      <x:c r="A14" s="25" t="str">
        <x:v>MVP-009</x:v>
      </x:c>
      <x:c r="B14" s="25" t="str">
        <x:v>FCC documents and labels</x:v>
      </x:c>
      <x:c r="C14" s="25" t="str">
        <x:v>Generate required-document tasks for FCC ID/grant or SDoC, US responsible party, label, and manual statements.</x:v>
      </x:c>
      <x:c r="D14" s="25" t="str">
        <x:v>R-ELEC-005; R-ELEC-006</x:v>
      </x:c>
      <x:c r="E14" s="25" t="str">
        <x:v>P0</x:v>
      </x:c>
      <x:c r="F14" s="25" t="str">
        <x:v>VERIFIED</x:v>
      </x:c>
      <x:c r="G14" s="25" t="str">
        <x:v>Do not let an FCC logo substitute for authorization evidence.</x:v>
      </x:c>
    </x:row>
    <x:row r="15" ht="48" customHeight="1">
      <x:c r="A15" s="25" t="str">
        <x:v>MVP-010</x:v>
      </x:c>
      <x:c r="B15" s="25" t="str">
        <x:v>Lithium transport</x:v>
      </x:c>
      <x:c r="C15" s="25" t="str">
        <x:v>Capture chemistry, Wh/lithium content, configuration, quantity, and UN 38.3 test-summary availability.</x:v>
      </x:c>
      <x:c r="D15" s="25" t="str">
        <x:v>R-ELEC-012</x:v>
      </x:c>
      <x:c r="E15" s="25" t="str">
        <x:v>P0</x:v>
      </x:c>
      <x:c r="F15" s="25" t="str">
        <x:v>VERIFIED</x:v>
      </x:c>
      <x:c r="G15" s="25" t="str">
        <x:v>Show a transport result separate from product-market authorization.</x:v>
      </x:c>
    </x:row>
    <x:row r="16" ht="48" customHeight="1">
      <x:c r="A16" s="25" t="str">
        <x:v>MVP-011</x:v>
      </x:c>
      <x:c r="B16" s="25" t="str">
        <x:v>Button batteries</x:v>
      </x:c>
      <x:c r="C16" s="25" t="str">
        <x:v>Route non-toy button/coin products to UL 4200A performance, certificate, and warning tasks; route toys to F963.</x:v>
      </x:c>
      <x:c r="D16" s="25" t="str">
        <x:v>R-ELEC-017; R-TOY-011; R-TOY-012</x:v>
      </x:c>
      <x:c r="E16" s="25" t="str">
        <x:v>P0</x:v>
      </x:c>
      <x:c r="F16" s="25" t="str">
        <x:v>VERIFIED</x:v>
      </x:c>
      <x:c r="G16" s="25" t="str">
        <x:v>Explicitly encode zinc-air and toy exceptions.</x:v>
      </x:c>
    </x:row>
    <x:row r="17" ht="48" customHeight="1">
      <x:c r="A17" s="25" t="str">
        <x:v>MVP-012</x:v>
      </x:c>
      <x:c r="B17" s="25" t="str">
        <x:v>Power supplies and chargers</x:v>
      </x:c>
      <x:c r="C17" s="25" t="str">
        <x:v>Ask whether an EPS is included/sold and whether the product is a covered battery charger; create DOE testing/certification tasks.</x:v>
      </x:c>
      <x:c r="D17" s="25" t="str">
        <x:v>R-ELEC-010; R-ELEC-011</x:v>
      </x:c>
      <x:c r="E17" s="25" t="str">
        <x:v>P0</x:v>
      </x:c>
      <x:c r="F17" s="25" t="str">
        <x:v>VERIFIED</x:v>
      </x:c>
      <x:c r="G17" s="25" t="str">
        <x:v>Keep general UL safety as a conditional P1 recommendation.</x:v>
      </x:c>
    </x:row>
    <x:row r="18" ht="48" customHeight="1">
      <x:c r="A18" s="25" t="str">
        <x:v>MVP-013</x:v>
      </x:c>
      <x:c r="B18" s="25" t="str">
        <x:v>Electronics platforms</x:v>
      </x:c>
      <x:c r="C18" s="25" t="str">
        <x:v>Add Amazon FCC attribute and lithium verification workflows plus eBay FCC/product-safety restrictions.</x:v>
      </x:c>
      <x:c r="D18" s="25" t="str">
        <x:v>R-ELEC-014; R-ELEC-015; R-ELEC-016</x:v>
      </x:c>
      <x:c r="E18" s="25" t="str">
        <x:v>P0</x:v>
      </x:c>
      <x:c r="F18" s="25" t="str">
        <x:v>VERIFIED</x:v>
      </x:c>
      <x:c r="G18" s="25" t="str">
        <x:v>Mark exact Amazon help-page document details as requiring Seller Central verification.</x:v>
      </x:c>
    </x:row>
    <x:row r="19" ht="48" customHeight="1">
      <x:c r="A19" s="25" t="str">
        <x:v>MVP-014</x:v>
      </x:c>
      <x:c r="B19" s="25" t="str">
        <x:v>Uncertainty controls</x:v>
      </x:c>
      <x:c r="C19" s="25" t="str">
        <x:v>Expose VERIFIED, UNVERIFIED, CONFLICT, and NOT FOUND; never turn missing evidence into a pass.</x:v>
      </x:c>
      <x:c r="D19" s="25" t="str">
        <x:v>All rules and sources</x:v>
      </x:c>
      <x:c r="E19" s="25" t="str">
        <x:v>P0</x:v>
      </x:c>
      <x:c r="F19" s="25" t="str">
        <x:v>VERIFIED</x:v>
      </x:c>
      <x:c r="G19" s="25" t="str">
        <x:v>Every result should show source IDs and last check date.</x:v>
      </x:c>
    </x:row>
    <x:row r="20" ht="48" customHeight="1">
      <x:c r="A20" s="25" t="str">
        <x:v>MVP-015</x:v>
      </x:c>
      <x:c r="B20" s="25" t="str">
        <x:v>Update checks</x:v>
      </x:c>
      <x:c r="C20" s="25" t="str">
        <x:v>Preserve canonical URL, source type, jurisdiction, topics, last checked date, and effective/update date in the source registry.</x:v>
      </x:c>
      <x:c r="D20" s="25" t="str">
        <x:v>All sources</x:v>
      </x:c>
      <x:c r="E20" s="25" t="str">
        <x:v>P0</x:v>
      </x:c>
      <x:c r="F20" s="25" t="str">
        <x:v>VERIFIED</x:v>
      </x:c>
      <x:c r="G20" s="25" t="str">
        <x:v>Use the same URL for human-triggered rechecks and record a new verification status rather than overwriting history silently.</x:v>
      </x:c>
    </x:row>
    <x:row r="21" ht="48" customHeight="1">
      <x:c r="A21" s="26" t="str">
        <x:v>MVP-016</x:v>
      </x:c>
      <x:c r="B21" s="26" t="str">
        <x:v>P1 specialty backlog</x:v>
      </x:c>
      <x:c r="C21" s="26" t="str">
        <x:v>Defer water beads, neck floats, continuous-production periodic testing, detailed RF coexistence, Covered List supply-chain depth, state survey, and carrier-specific shipping.</x:v>
      </x:c>
      <x:c r="D21" s="26" t="str">
        <x:v>R-TOY-016; R-TOY-017; R-TOY-018; R-ELEC-008; R-ELEC-013; R-ELEC-018; R-ELEC-019</x:v>
      </x:c>
      <x:c r="E21" s="26" t="str">
        <x:v>P1</x:v>
      </x:c>
      <x:c r="F21" s="26" t="str">
        <x:v>VERIFIED</x:v>
      </x:c>
      <x:c r="G21" s="26" t="str">
        <x:v>Show these as escalation flags if attributes are true; do not return a green result.</x:v>
      </x:c>
    </x:row>
  </x:sheetData>
  <x:conditionalFormatting sqref="F6:F21">
    <x:cfRule type="containsText" dxfId="20" priority="1" operator="containsText" text="VERIFIED"/>
    <x:cfRule type="containsText" dxfId="21" priority="2" operator="containsText" text="UNVERIFIED"/>
    <x:cfRule type="containsText" dxfId="22" priority="3" operator="containsText" text="CONFLICT"/>
    <x:cfRule type="containsText" dxfId="23" priority="4" operator="containsText" text="NOT FOUND"/>
  </x:conditionalFormatting>
  <x:dataValidations count="1">
    <x:dataValidation type="list" sqref="F6:F21">
      <x:formula1>"VERIFIED,UNVERIFIED,CONFLICT,NOT FOUND"</x:formula1>
    </x:dataValidation>
  </x:dataValidations>
  <x:pageMargins left="0.7" right="0.7" top="0.75" bottom="0.75" header="0.3" footer="0.3"/>
  <x:tableParts count="1">
    <x:tablePart xmlns:r="http://schemas.openxmlformats.org/officeDocument/2006/relationships" r:id="R6419ac825c844960"/>
  </x:tableParts>
</x:worksheet>
</file>

<file path=xl/worksheets/sheet8.xml><?xml version="1.0" encoding="utf-8"?>
<x:worksheet xmlns:x="http://schemas.openxmlformats.org/spreadsheetml/2006/main">
  <x:sheetPr>
    <x:tabColor rgb="FF234A70"/>
  </x:sheetPr>
  <x:sheetViews>
    <x:sheetView showGridLines="0" workbookViewId="0"/>
  </x:sheetViews>
  <x:sheetFormatPr defaultRowHeight="15"/>
  <x:cols>
    <x:col min="1" max="1" width="30" hidden="0" customWidth="1"/>
    <x:col min="2" max="2" width="15" hidden="0" customWidth="1"/>
    <x:col min="4" max="4" width="22" hidden="0" customWidth="1"/>
    <x:col min="5" max="5" width="12" hidden="0" customWidth="1"/>
    <x:col min="6" max="6" width="25" hidden="0" customWidth="1"/>
    <x:col min="7" max="7" width="12" hidden="0" customWidth="1"/>
  </x:cols>
  <x:sheetData>
    <x:row r="2">
      <x:c r="A2" s="1" t="str">
        <x:v>Coverage and verification summary</x:v>
      </x:c>
    </x:row>
    <x:row r="3">
      <x:c r="A3" s="2" t="str">
        <x:v>Formula-linked counts from the workbook tables</x:v>
      </x:c>
    </x:row>
    <x:row r="4">
      <x:c r="A4" s="3"/>
      <x:c r="B4" s="3"/>
      <x:c r="C4" s="3"/>
      <x:c r="D4" s="3"/>
      <x:c r="E4" s="3"/>
      <x:c r="F4" s="3"/>
      <x:c r="G4" s="3"/>
      <x:c r="H4" s="3"/>
      <x:c r="I4" s="3"/>
      <x:c r="J4" s="3"/>
      <x:c r="K4" s="3"/>
      <x:c r="L4" s="3"/>
      <x:c r="M4" s="3"/>
      <x:c r="N4" s="3"/>
      <x:c r="O4" s="3"/>
      <x:c r="P4" s="3"/>
      <x:c r="Q4" s="3"/>
      <x:c r="R4" s="3"/>
      <x:c r="S4" s="3"/>
      <x:c r="T4" s="3"/>
      <x:c r="U4" s="3"/>
      <x:c r="V4" s="3"/>
      <x:c r="W4" s="3"/>
      <x:c r="X4" s="3"/>
      <x:c r="Y4" s="3"/>
      <x:c r="Z4" s="3"/>
    </x:row>
    <x:row r="6">
      <x:c r="A6" s="36" t="str">
        <x:v>Metric</x:v>
      </x:c>
      <x:c r="B6" s="36" t="str">
        <x:v>Count</x:v>
      </x:c>
      <x:c r="D6" s="17" t="str">
        <x:v>Rule status</x:v>
      </x:c>
      <x:c r="E6" s="17" t="str">
        <x:v>Count</x:v>
      </x:c>
      <x:c r="F6" s="17" t="str">
        <x:v>Requirement type</x:v>
      </x:c>
      <x:c r="G6" s="17" t="str">
        <x:v>Count</x:v>
      </x:c>
    </x:row>
    <x:row r="7">
      <x:c r="A7" s="37" t="str">
        <x:v>Product attributes</x:v>
      </x:c>
      <x:c r="B7" s="38" t="n">
        <x:f>COUNTA(Attributes!A6:A54)</x:f>
        <x:v>49</x:v>
      </x:c>
      <x:c r="D7" s="41" t="str">
        <x:v>VERIFIED</x:v>
      </x:c>
      <x:c r="E7" s="41" t="n">
        <x:f>COUNTIF('Rule Matrix'!O6:O46,D7)</x:f>
        <x:v>41</x:v>
      </x:c>
      <x:c r="F7" s="41" t="str">
        <x:v>Federal/state</x:v>
      </x:c>
      <x:c r="G7" s="41" t="n">
        <x:f>COUNTIF('Rule Matrix'!D6:D46,"Federal regulation")+COUNTIF('Rule Matrix'!D6:D46,"Federal regulation adopting industry standard")+COUNTIF('Rule Matrix'!D6:D46,"Federal policy/guidance")+COUNTIF('Rule Matrix'!D6:D46,"Federal transport regulation")+COUNTIF('Rule Matrix'!D6:D46,"State requirement")</x:f>
        <x:v>34</x:v>
      </x:c>
    </x:row>
    <x:row r="8">
      <x:c r="A8" s="37" t="str">
        <x:v>Compliance rules</x:v>
      </x:c>
      <x:c r="B8" s="38" t="n">
        <x:f>COUNTA('Rule Matrix'!A6:A46)</x:f>
        <x:v>41</x:v>
      </x:c>
      <x:c r="D8" s="42" t="str">
        <x:v>UNVERIFIED</x:v>
      </x:c>
      <x:c r="E8" s="42" t="n">
        <x:f>COUNTIF('Rule Matrix'!O6:O46,D8)</x:f>
        <x:v>0</x:v>
      </x:c>
      <x:c r="F8" s="42" t="str">
        <x:v>Platform</x:v>
      </x:c>
      <x:c r="G8" s="42" t="n">
        <x:f>COUNTIF('Rule Matrix'!D6:D46,"Platform rule")</x:f>
        <x:v>5</x:v>
      </x:c>
    </x:row>
    <x:row r="9">
      <x:c r="A9" s="37" t="str">
        <x:v>Trusted sources</x:v>
      </x:c>
      <x:c r="B9" s="38" t="n">
        <x:f>COUNTA(Sources!A6:A56)</x:f>
        <x:v>51</x:v>
      </x:c>
      <x:c r="D9" s="42" t="str">
        <x:v>CONFLICT</x:v>
      </x:c>
      <x:c r="E9" s="42" t="n">
        <x:f>COUNTIF('Rule Matrix'!O6:O46,D9)</x:f>
        <x:v>0</x:v>
      </x:c>
      <x:c r="F9" s="42" t="str">
        <x:v>Industry/recommended</x:v>
      </x:c>
      <x:c r="G9" s="42" t="n">
        <x:f>COUNTIF('Rule Matrix'!D6:D46,"Industry standard / recommended practice")</x:f>
        <x:v>1</x:v>
      </x:c>
    </x:row>
    <x:row r="10">
      <x:c r="A10" s="37" t="str">
        <x:v>Cost records</x:v>
      </x:c>
      <x:c r="B10" s="38" t="n">
        <x:f>COUNTA(Costs!A6:A13)</x:f>
        <x:v>8</x:v>
      </x:c>
      <x:c r="D10" s="42" t="str">
        <x:v>NOT FOUND</x:v>
      </x:c>
      <x:c r="E10" s="42" t="n">
        <x:f>COUNTIF('Rule Matrix'!O6:O46,D10)</x:f>
        <x:v>0</x:v>
      </x:c>
      <x:c r="F10" s="42" t="str">
        <x:v>Proposed/watchlist</x:v>
      </x:c>
      <x:c r="G10" s="42" t="n">
        <x:f>COUNTIF('Rule Matrix'!D6:D46,"Proposed federal rule / watchlist")</x:f>
        <x:v>1</x:v>
      </x:c>
    </x:row>
    <x:row r="11">
      <x:c r="A11" s="37" t="str">
        <x:v>Gaps / conflicts</x:v>
      </x:c>
      <x:c r="B11" s="38" t="n">
        <x:f>COUNTA(Gaps!A6:A19)</x:f>
        <x:v>14</x:v>
      </x:c>
      <x:c r="D11" s="43"/>
      <x:c r="E11" s="43"/>
      <x:c r="F11" s="43" t="str">
        <x:v>Other</x:v>
      </x:c>
      <x:c r="G11" s="43" t="n">
        <x:f>B8-SUM(G7:G10)</x:f>
        <x:v>0</x:v>
      </x:c>
    </x:row>
    <x:row r="12">
      <x:c r="A12" s="37" t="str">
        <x:v>MVP subset items</x:v>
      </x:c>
      <x:c r="B12" s="38" t="n">
        <x:f>COUNTA('MVP Subset'!A6:A21)</x:f>
        <x:v>16</x:v>
      </x:c>
    </x:row>
    <x:row r="13">
      <x:c r="A13" s="39" t="str">
        <x:v>P0 rules</x:v>
      </x:c>
      <x:c r="B13" s="40" t="n">
        <x:f>COUNTIF('Rule Matrix'!P6:P46,"P0")</x:f>
        <x:v>33</x:v>
      </x:c>
    </x:row>
    <x:row r="16">
      <x:c r="A16" s="45" t="str">
        <x:v>MVP decision rules</x:v>
      </x:c>
      <x:c r="B16" s="45"/>
      <x:c r="C16" s="45"/>
      <x:c r="D16" s="45"/>
      <x:c r="E16" s="45"/>
      <x:c r="F16" s="45"/>
      <x:c r="G16" s="45"/>
    </x:row>
    <x:row r="17">
      <x:c r="A17" s="4" t="str">
        <x:v>1</x:v>
      </x:c>
      <x:c r="B17" s="5" t="str">
        <x:v>Never treat NOT FOUND as not required.</x:v>
      </x:c>
      <x:c r="C17" s="5"/>
      <x:c r="D17" s="5"/>
      <x:c r="E17" s="5"/>
      <x:c r="F17" s="5"/>
      <x:c r="G17" s="5"/>
    </x:row>
    <x:row r="18">
      <x:c r="A18" s="4" t="str">
        <x:v>2</x:v>
      </x:c>
      <x:c r="B18" s="5" t="str">
        <x:v>Allow dual routing for child-targeted electronics.</x:v>
      </x:c>
      <x:c r="C18" s="5"/>
      <x:c r="D18" s="5"/>
      <x:c r="E18" s="5"/>
      <x:c r="F18" s="5"/>
      <x:c r="G18" s="5"/>
    </x:row>
    <x:row r="19">
      <x:c r="A19" s="4" t="str">
        <x:v>3</x:v>
      </x:c>
      <x:c r="B19" s="5" t="str">
        <x:v>Keep federal, state, platform, transport, and industry layers visibly separate.</x:v>
      </x:c>
      <x:c r="C19" s="5"/>
      <x:c r="D19" s="5"/>
      <x:c r="E19" s="5"/>
      <x:c r="F19" s="5"/>
      <x:c r="G19" s="5"/>
    </x:row>
  </x:sheetData>
  <x:pageMargins left="0.7" right="0.7" top="0.75" bottom="0.75" header="0.3" footer="0.3"/>
</x:worksheet>
</file>